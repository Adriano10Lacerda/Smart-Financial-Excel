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9BACD67B-ECD2-49E6-A68C-E7B085DD21EE}" xr6:coauthVersionLast="47" xr6:coauthVersionMax="47" xr10:uidLastSave="{00000000-0000-0000-0000-000000000000}"/>
  <bookViews>
    <workbookView xWindow="-120" yWindow="-120" windowWidth="20730" windowHeight="11040" activeTab="1" xr2:uid="{F91511D9-C0CF-4C6D-8103-54094EAD38F7}"/>
  </bookViews>
  <sheets>
    <sheet name="Dashboard" sheetId="2" r:id="rId1"/>
    <sheet name="Dashboard_V2" sheetId="9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" i="2" l="1"/>
  <c r="M7" i="9" s="1"/>
  <c r="B13" i="2"/>
  <c r="G7" i="9" s="1"/>
  <c r="B12" i="2"/>
  <c r="D7" i="9" s="1"/>
  <c r="J5" i="2"/>
  <c r="D5" i="2"/>
  <c r="A5" i="2"/>
  <c r="B14" i="2" l="1"/>
  <c r="J7" i="9" s="1"/>
  <c r="G5" i="2"/>
</calcChain>
</file>

<file path=xl/sharedStrings.xml><?xml version="1.0" encoding="utf-8"?>
<sst xmlns="http://schemas.openxmlformats.org/spreadsheetml/2006/main" count="209" uniqueCount="111">
  <si>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</si>
  <si>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</si>
  <si>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</si>
  <si>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</si>
  <si>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</si>
  <si>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</si>
  <si>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</si>
  <si>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</si>
  <si>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</si>
  <si>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</si>
  <si>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</si>
  <si>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</si>
  <si>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</si>
  <si>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</si>
  <si>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</si>
  <si>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</si>
  <si>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</si>
  <si>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</si>
  <si>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</si>
  <si>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</si>
  <si>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</si>
  <si>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</si>
  <si>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</si>
  <si>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</si>
  <si>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</si>
  <si>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</si>
  <si>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</si>
  <si>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</si>
  <si>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</si>
  <si>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</si>
  <si>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</si>
  <si>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</si>
  <si>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</si>
  <si>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</si>
  <si>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</si>
  <si>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</si>
  <si>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</si>
  <si>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</si>
  <si>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</si>
  <si>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</si>
  <si>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</si>
  <si>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</si>
  <si>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</si>
  <si>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</si>
  <si>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</si>
  <si>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</si>
  <si>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</si>
  <si>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</si>
  <si>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</si>
  <si>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</si>
  <si>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</si>
  <si>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</si>
  <si>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</si>
  <si>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</si>
  <si>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</si>
  <si>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</si>
  <si>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</si>
  <si>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</si>
  <si>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</si>
  <si>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</si>
  <si>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</si>
  <si>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</si>
  <si>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</si>
  <si>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</si>
  <si>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</si>
  <si>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</si>
  <si>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</si>
  <si>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</si>
  <si>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</si>
  <si>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</si>
  <si>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</si>
  <si>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</si>
  <si>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</si>
  <si>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</si>
  <si>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</si>
  <si>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</si>
  <si>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</si>
  <si>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</si>
  <si>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</si>
  <si>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</si>
  <si>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</si>
  <si>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</si>
  <si>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</si>
  <si>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</si>
  <si>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</si>
  <si>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</si>
  <si>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</si>
  <si>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</si>
  <si>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</si>
  <si>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</si>
  <si>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</si>
  <si>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</si>
  <si>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</si>
  <si>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</si>
  <si>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</si>
  <si>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</si>
  <si>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</si>
  <si>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</si>
  <si>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</si>
  <si>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FINANCIAL</t>
  </si>
  <si>
    <t>Dashboard</t>
  </si>
  <si>
    <t>Metas</t>
  </si>
  <si>
    <t>Relatórios</t>
  </si>
  <si>
    <t>Configurações</t>
  </si>
  <si>
    <t>RECEITAS x DESPESAS</t>
  </si>
  <si>
    <t>ÁREA DO PERSONAGEM</t>
  </si>
  <si>
    <t>PRÓXIMO BLOCO</t>
  </si>
  <si>
    <t>Supermercado</t>
  </si>
  <si>
    <t>Teste Dashabord</t>
  </si>
  <si>
    <t>Conta de luz</t>
  </si>
  <si>
    <t>Combustivel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</si>
</sst>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0.0%"/>
    <numFmt numFmtId="166" formatCode="&quot;R$&quot;\ #,##0.00"/>
  </numFmts>
  <fonts count="4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b/>
      <sz val="24"/>
      <color rgb="FFFFFFFF"/>
      <name val="Aptos Display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sz val="10"/>
      <color rgb="FFFFFFFF"/>
      <name val="Aptos"/>
      <family val="2"/>
    </font>
    <font>
      <b/>
      <sz val="15"/>
      <color rgb="FFFFFFFF"/>
      <name val="Aptos Display"/>
      <family val="2"/>
    </font>
    <font>
      <b/>
      <sz val="10"/>
      <color rgb="FFDCE6F0"/>
      <name val="Aptos"/>
      <family val="2"/>
    </font>
    <font>
      <b/>
      <sz val="11"/>
      <color rgb="FF232D3C"/>
      <name val="Aptos"/>
      <family val="2"/>
    </font>
    <font>
      <b/>
      <sz val="18"/>
      <color rgb="FF27AE60"/>
      <name val="Aptos Display"/>
      <family val="2"/>
    </font>
    <font>
      <b/>
      <sz val="18"/>
      <color rgb="FFE74C3C"/>
      <name val="Aptos Display"/>
      <family val="2"/>
    </font>
    <font>
      <b/>
      <sz val="18"/>
      <color rgb="FF2962B4"/>
      <name val="Aptos Display"/>
      <family val="2"/>
    </font>
    <font>
      <b/>
      <sz val="18"/>
      <color rgb="FF6F4EAA"/>
      <name val="Aptos Display"/>
      <family val="2"/>
    </font>
    <font>
      <b/>
      <sz val="12"/>
      <color rgb="FF1E375A"/>
      <name val="Aptos"/>
      <family val="2"/>
    </font>
    <font>
      <i/>
      <sz val="10"/>
      <color rgb="FF505A69"/>
      <name val="Aptos"/>
      <family val="2"/>
    </font>
    <font>
      <b/>
      <sz val="12"/>
      <color rgb="FF1E375A"/>
      <name val="Aptos Display"/>
      <family val="2"/>
    </font>
    <font>
      <b/>
      <u/>
      <sz val="11"/>
      <color rgb="FF232D3C"/>
      <name val="Aptos"/>
      <family val="2"/>
    </font>
    <font>
      <b/>
      <sz val="11"/>
      <color rgb="FF646E7D"/>
      <name val="Aptos"/>
      <family val="2"/>
    </font>
  </fonts>
  <fills count="19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10263D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DCF8E8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0ECFF"/>
        <bgColor indexed="64"/>
      </patternFill>
    </fill>
    <fill>
      <patternFill patternType="solid">
        <fgColor rgb="FFEEE9FF"/>
        <bgColor indexed="64"/>
      </patternFill>
    </fill>
  </fills>
  <borders count="26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154E6B"/>
      </left>
      <right style="thin">
        <color rgb="FF154E6B"/>
      </right>
      <top style="thin">
        <color rgb="FF154E6B"/>
      </top>
      <bottom style="thin">
        <color rgb="FF154E6B"/>
      </bottom>
      <diagonal/>
    </border>
    <border>
      <left/>
      <right/>
      <top style="thin">
        <color rgb="FF154E6B"/>
      </top>
      <bottom/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/>
      <diagonal/>
    </border>
    <border>
      <left/>
      <right/>
      <top style="thin">
        <color rgb="FFE1E6EC"/>
      </top>
      <bottom/>
      <diagonal/>
    </border>
    <border>
      <left/>
      <right style="thin">
        <color rgb="FFE1E6EC"/>
      </right>
      <top style="thin">
        <color rgb="FFE1E6EC"/>
      </top>
      <bottom/>
      <diagonal/>
    </border>
    <border>
      <left style="thin">
        <color rgb="FFE1E6EC"/>
      </left>
      <right/>
      <top/>
      <bottom style="thin">
        <color rgb="FFE1E6EC"/>
      </bottom>
      <diagonal/>
    </border>
    <border>
      <left/>
      <right/>
      <top/>
      <bottom style="thin">
        <color rgb="FFE1E6EC"/>
      </bottom>
      <diagonal/>
    </border>
    <border>
      <left/>
      <right style="thin">
        <color rgb="FFE1E6EC"/>
      </right>
      <top/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 style="thin">
        <color rgb="FFE1E6EC"/>
      </bottom>
      <diagonal/>
    </border>
    <border>
      <left/>
      <right/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 style="thin">
        <color rgb="FFE1E6EC"/>
      </top>
      <bottom style="thin">
        <color rgb="FFE1E6EC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8" borderId="13" xfId="0" applyFont="1" applyFill="1" applyBorder="1" applyAlignment="1">
      <alignment horizontal="center" vertical="center"/>
    </xf>
    <xf numFmtId="164" fontId="18" fillId="7" borderId="13" xfId="0" applyNumberFormat="1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164" fontId="20" fillId="7" borderId="13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164" fontId="21" fillId="7" borderId="13" xfId="0" applyNumberFormat="1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164" fontId="25" fillId="2" borderId="1" xfId="0" applyNumberFormat="1" applyFont="1" applyFill="1" applyBorder="1" applyAlignment="1">
      <alignment horizontal="right"/>
    </xf>
    <xf numFmtId="164" fontId="26" fillId="2" borderId="1" xfId="0" applyNumberFormat="1" applyFont="1" applyFill="1" applyBorder="1" applyAlignment="1">
      <alignment horizontal="right"/>
    </xf>
    <xf numFmtId="164" fontId="27" fillId="2" borderId="1" xfId="0" applyNumberFormat="1" applyFont="1" applyFill="1" applyBorder="1" applyAlignment="1">
      <alignment horizontal="right"/>
    </xf>
    <xf numFmtId="3" fontId="24" fillId="2" borderId="1" xfId="0" applyNumberFormat="1" applyFont="1" applyFill="1" applyBorder="1" applyAlignment="1">
      <alignment horizontal="right"/>
    </xf>
    <xf numFmtId="0" fontId="28" fillId="2" borderId="0" xfId="0" applyFont="1" applyFill="1"/>
    <xf numFmtId="0" fontId="29" fillId="6" borderId="0" xfId="0" applyFont="1" applyFill="1"/>
    <xf numFmtId="0" fontId="30" fillId="13" borderId="0" xfId="0" applyFont="1" applyFill="1"/>
    <xf numFmtId="0" fontId="31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29" fillId="15" borderId="16" xfId="0" applyFont="1" applyFill="1" applyBorder="1" applyAlignment="1">
      <alignment horizontal="left" vertical="center"/>
    </xf>
    <xf numFmtId="166" fontId="34" fillId="15" borderId="17" xfId="0" applyNumberFormat="1" applyFont="1" applyFill="1" applyBorder="1" applyAlignment="1">
      <alignment horizontal="left" vertical="center"/>
    </xf>
    <xf numFmtId="166" fontId="34" fillId="15" borderId="18" xfId="0" applyNumberFormat="1" applyFont="1" applyFill="1" applyBorder="1" applyAlignment="1">
      <alignment horizontal="left" vertical="center"/>
    </xf>
    <xf numFmtId="166" fontId="34" fillId="15" borderId="19" xfId="0" applyNumberFormat="1" applyFont="1" applyFill="1" applyBorder="1" applyAlignment="1">
      <alignment horizontal="left" vertical="center"/>
    </xf>
    <xf numFmtId="166" fontId="34" fillId="15" borderId="20" xfId="0" applyNumberFormat="1" applyFont="1" applyFill="1" applyBorder="1" applyAlignment="1">
      <alignment horizontal="left" vertical="center"/>
    </xf>
    <xf numFmtId="166" fontId="34" fillId="15" borderId="21" xfId="0" applyNumberFormat="1" applyFont="1" applyFill="1" applyBorder="1" applyAlignment="1">
      <alignment horizontal="left" vertical="center"/>
    </xf>
    <xf numFmtId="166" fontId="34" fillId="15" borderId="22" xfId="0" applyNumberFormat="1" applyFont="1" applyFill="1" applyBorder="1" applyAlignment="1">
      <alignment horizontal="left" vertical="center"/>
    </xf>
    <xf numFmtId="0" fontId="29" fillId="16" borderId="16" xfId="0" applyFont="1" applyFill="1" applyBorder="1" applyAlignment="1">
      <alignment horizontal="left" vertical="center"/>
    </xf>
    <xf numFmtId="0" fontId="33" fillId="16" borderId="17" xfId="0" applyFont="1" applyFill="1" applyBorder="1" applyAlignment="1">
      <alignment horizontal="left" vertical="center"/>
    </xf>
    <xf numFmtId="0" fontId="33" fillId="16" borderId="18" xfId="0" applyFont="1" applyFill="1" applyBorder="1" applyAlignment="1">
      <alignment horizontal="left" vertical="center"/>
    </xf>
    <xf numFmtId="0" fontId="33" fillId="16" borderId="19" xfId="0" applyFont="1" applyFill="1" applyBorder="1" applyAlignment="1">
      <alignment horizontal="left" vertical="center"/>
    </xf>
    <xf numFmtId="0" fontId="33" fillId="16" borderId="20" xfId="0" applyFont="1" applyFill="1" applyBorder="1" applyAlignment="1">
      <alignment horizontal="left" vertical="center"/>
    </xf>
    <xf numFmtId="0" fontId="33" fillId="16" borderId="21" xfId="0" applyFont="1" applyFill="1" applyBorder="1" applyAlignment="1">
      <alignment horizontal="left" vertical="center"/>
    </xf>
    <xf numFmtId="0" fontId="33" fillId="16" borderId="22" xfId="0" applyFont="1" applyFill="1" applyBorder="1" applyAlignment="1">
      <alignment horizontal="left" vertical="center"/>
    </xf>
    <xf numFmtId="166" fontId="35" fillId="16" borderId="17" xfId="0" applyNumberFormat="1" applyFont="1" applyFill="1" applyBorder="1" applyAlignment="1">
      <alignment horizontal="left" vertical="center"/>
    </xf>
    <xf numFmtId="166" fontId="35" fillId="16" borderId="18" xfId="0" applyNumberFormat="1" applyFont="1" applyFill="1" applyBorder="1" applyAlignment="1">
      <alignment horizontal="left" vertical="center"/>
    </xf>
    <xf numFmtId="166" fontId="35" fillId="16" borderId="19" xfId="0" applyNumberFormat="1" applyFont="1" applyFill="1" applyBorder="1" applyAlignment="1">
      <alignment horizontal="left" vertical="center"/>
    </xf>
    <xf numFmtId="166" fontId="35" fillId="16" borderId="20" xfId="0" applyNumberFormat="1" applyFont="1" applyFill="1" applyBorder="1" applyAlignment="1">
      <alignment horizontal="left" vertical="center"/>
    </xf>
    <xf numFmtId="166" fontId="35" fillId="16" borderId="21" xfId="0" applyNumberFormat="1" applyFont="1" applyFill="1" applyBorder="1" applyAlignment="1">
      <alignment horizontal="left" vertical="center"/>
    </xf>
    <xf numFmtId="166" fontId="35" fillId="16" borderId="22" xfId="0" applyNumberFormat="1" applyFont="1" applyFill="1" applyBorder="1" applyAlignment="1">
      <alignment horizontal="left" vertical="center"/>
    </xf>
    <xf numFmtId="0" fontId="29" fillId="17" borderId="16" xfId="0" applyFont="1" applyFill="1" applyBorder="1" applyAlignment="1">
      <alignment horizontal="left" vertical="center"/>
    </xf>
    <xf numFmtId="0" fontId="33" fillId="17" borderId="17" xfId="0" applyFont="1" applyFill="1" applyBorder="1" applyAlignment="1">
      <alignment horizontal="left" vertical="center"/>
    </xf>
    <xf numFmtId="0" fontId="33" fillId="17" borderId="18" xfId="0" applyFont="1" applyFill="1" applyBorder="1" applyAlignment="1">
      <alignment horizontal="left" vertical="center"/>
    </xf>
    <xf numFmtId="0" fontId="33" fillId="17" borderId="19" xfId="0" applyFont="1" applyFill="1" applyBorder="1" applyAlignment="1">
      <alignment horizontal="left" vertical="center"/>
    </xf>
    <xf numFmtId="0" fontId="33" fillId="17" borderId="20" xfId="0" applyFont="1" applyFill="1" applyBorder="1" applyAlignment="1">
      <alignment horizontal="left" vertical="center"/>
    </xf>
    <xf numFmtId="0" fontId="33" fillId="17" borderId="21" xfId="0" applyFont="1" applyFill="1" applyBorder="1" applyAlignment="1">
      <alignment horizontal="left" vertical="center"/>
    </xf>
    <xf numFmtId="0" fontId="33" fillId="17" borderId="22" xfId="0" applyFont="1" applyFill="1" applyBorder="1" applyAlignment="1">
      <alignment horizontal="left" vertical="center"/>
    </xf>
    <xf numFmtId="166" fontId="36" fillId="17" borderId="17" xfId="0" applyNumberFormat="1" applyFont="1" applyFill="1" applyBorder="1" applyAlignment="1">
      <alignment horizontal="left" vertical="center"/>
    </xf>
    <xf numFmtId="166" fontId="36" fillId="17" borderId="18" xfId="0" applyNumberFormat="1" applyFont="1" applyFill="1" applyBorder="1" applyAlignment="1">
      <alignment horizontal="left" vertical="center"/>
    </xf>
    <xf numFmtId="166" fontId="36" fillId="17" borderId="19" xfId="0" applyNumberFormat="1" applyFont="1" applyFill="1" applyBorder="1" applyAlignment="1">
      <alignment horizontal="left" vertical="center"/>
    </xf>
    <xf numFmtId="166" fontId="36" fillId="17" borderId="20" xfId="0" applyNumberFormat="1" applyFont="1" applyFill="1" applyBorder="1" applyAlignment="1">
      <alignment horizontal="left" vertical="center"/>
    </xf>
    <xf numFmtId="166" fontId="36" fillId="17" borderId="21" xfId="0" applyNumberFormat="1" applyFont="1" applyFill="1" applyBorder="1" applyAlignment="1">
      <alignment horizontal="left" vertical="center"/>
    </xf>
    <xf numFmtId="166" fontId="36" fillId="17" borderId="22" xfId="0" applyNumberFormat="1" applyFont="1" applyFill="1" applyBorder="1" applyAlignment="1">
      <alignment horizontal="left" vertical="center"/>
    </xf>
    <xf numFmtId="0" fontId="29" fillId="18" borderId="16" xfId="0" applyFont="1" applyFill="1" applyBorder="1" applyAlignment="1">
      <alignment horizontal="left" vertical="center"/>
    </xf>
    <xf numFmtId="0" fontId="33" fillId="18" borderId="17" xfId="0" applyFont="1" applyFill="1" applyBorder="1" applyAlignment="1">
      <alignment horizontal="left" vertical="center"/>
    </xf>
    <xf numFmtId="0" fontId="33" fillId="18" borderId="18" xfId="0" applyFont="1" applyFill="1" applyBorder="1" applyAlignment="1">
      <alignment horizontal="left" vertical="center"/>
    </xf>
    <xf numFmtId="0" fontId="33" fillId="18" borderId="19" xfId="0" applyFont="1" applyFill="1" applyBorder="1" applyAlignment="1">
      <alignment horizontal="left" vertical="center"/>
    </xf>
    <xf numFmtId="0" fontId="33" fillId="18" borderId="20" xfId="0" applyFont="1" applyFill="1" applyBorder="1" applyAlignment="1">
      <alignment horizontal="left" vertical="center"/>
    </xf>
    <xf numFmtId="0" fontId="33" fillId="18" borderId="21" xfId="0" applyFont="1" applyFill="1" applyBorder="1" applyAlignment="1">
      <alignment horizontal="left" vertical="center"/>
    </xf>
    <xf numFmtId="0" fontId="33" fillId="18" borderId="22" xfId="0" applyFont="1" applyFill="1" applyBorder="1" applyAlignment="1">
      <alignment horizontal="left" vertical="center"/>
    </xf>
    <xf numFmtId="1" fontId="37" fillId="18" borderId="17" xfId="0" applyNumberFormat="1" applyFont="1" applyFill="1" applyBorder="1" applyAlignment="1">
      <alignment horizontal="left" vertical="center"/>
    </xf>
    <xf numFmtId="1" fontId="37" fillId="18" borderId="18" xfId="0" applyNumberFormat="1" applyFont="1" applyFill="1" applyBorder="1" applyAlignment="1">
      <alignment horizontal="left" vertical="center"/>
    </xf>
    <xf numFmtId="1" fontId="37" fillId="18" borderId="19" xfId="0" applyNumberFormat="1" applyFont="1" applyFill="1" applyBorder="1" applyAlignment="1">
      <alignment horizontal="left" vertical="center"/>
    </xf>
    <xf numFmtId="1" fontId="37" fillId="18" borderId="20" xfId="0" applyNumberFormat="1" applyFont="1" applyFill="1" applyBorder="1" applyAlignment="1">
      <alignment horizontal="left" vertical="center"/>
    </xf>
    <xf numFmtId="1" fontId="37" fillId="18" borderId="21" xfId="0" applyNumberFormat="1" applyFont="1" applyFill="1" applyBorder="1" applyAlignment="1">
      <alignment horizontal="left" vertical="center"/>
    </xf>
    <xf numFmtId="1" fontId="37" fillId="18" borderId="22" xfId="0" applyNumberFormat="1" applyFont="1" applyFill="1" applyBorder="1" applyAlignment="1">
      <alignment horizontal="left" vertical="center"/>
    </xf>
    <xf numFmtId="0" fontId="38" fillId="3" borderId="16" xfId="0" applyFont="1" applyFill="1" applyBorder="1" applyAlignment="1">
      <alignment horizontal="left" vertical="top"/>
    </xf>
    <xf numFmtId="0" fontId="38" fillId="3" borderId="16" xfId="0" applyFont="1" applyFill="1" applyBorder="1" applyAlignment="1">
      <alignment horizontal="left" vertical="top"/>
    </xf>
    <xf numFmtId="0" fontId="15" fillId="12" borderId="14" xfId="0" applyFont="1" applyFill="1" applyBorder="1" applyAlignment="1">
      <alignment horizontal="left" vertical="center"/>
    </xf>
    <xf numFmtId="0" fontId="39" fillId="6" borderId="15" xfId="0" applyFont="1" applyFill="1" applyBorder="1" applyAlignment="1">
      <alignment horizontal="left" vertical="center"/>
    </xf>
    <xf numFmtId="0" fontId="40" fillId="3" borderId="23" xfId="0" applyFont="1" applyFill="1" applyBorder="1" applyAlignment="1">
      <alignment horizontal="left" vertical="center"/>
    </xf>
    <xf numFmtId="0" fontId="40" fillId="3" borderId="24" xfId="0" applyFont="1" applyFill="1" applyBorder="1" applyAlignment="1">
      <alignment horizontal="left" vertical="center"/>
    </xf>
    <xf numFmtId="0" fontId="40" fillId="3" borderId="25" xfId="0" applyFont="1" applyFill="1" applyBorder="1" applyAlignment="1">
      <alignment horizontal="left" vertical="center"/>
    </xf>
    <xf numFmtId="0" fontId="41" fillId="15" borderId="17" xfId="0" applyFont="1" applyFill="1" applyBorder="1" applyAlignment="1">
      <alignment horizontal="left" vertical="center"/>
    </xf>
    <xf numFmtId="0" fontId="41" fillId="15" borderId="18" xfId="0" applyFont="1" applyFill="1" applyBorder="1" applyAlignment="1">
      <alignment horizontal="left" vertical="center"/>
    </xf>
    <xf numFmtId="0" fontId="41" fillId="15" borderId="19" xfId="0" applyFont="1" applyFill="1" applyBorder="1" applyAlignment="1">
      <alignment horizontal="left" vertical="center"/>
    </xf>
    <xf numFmtId="0" fontId="41" fillId="15" borderId="20" xfId="0" applyFont="1" applyFill="1" applyBorder="1" applyAlignment="1">
      <alignment horizontal="left" vertical="center"/>
    </xf>
    <xf numFmtId="0" fontId="41" fillId="15" borderId="21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2" fillId="3" borderId="16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3600</c:v>
                </c:pt>
                <c:pt idx="1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 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latin typeface="Aptos"/>
                    <a:ea typeface="Aptos"/>
                    <a:cs typeface="Apto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Dashboard_V2!$R$2:$R$4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Dashboard_V2!$Q$2:$Q$4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4113-44AD-A96E-5AF962EBA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Receitas x Despesas</c:v>
          </c:tx>
          <c:invertIfNegative val="0"/>
          <c:dPt>
            <c:idx val="0"/>
            <c:invertIfNegative val="0"/>
            <c:bubble3D val="0"/>
            <c:spPr>
              <a:solidFill>
                <a:srgbClr val="27AE6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4399-414E-99D3-BB174A267033}"/>
              </c:ext>
            </c:extLst>
          </c:dPt>
          <c:dPt>
            <c:idx val="1"/>
            <c:invertIfNegative val="0"/>
            <c:bubble3D val="0"/>
            <c:spPr>
              <a:solidFill>
                <a:srgbClr val="E74C3C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4399-414E-99D3-BB174A267033}"/>
              </c:ext>
            </c:extLst>
          </c:dPt>
          <c:dLbls>
            <c:numFmt formatCode="&quot;R$ &quot;#.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9-4399-414E-99D3-BB174A26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5711"/>
        <c:axId val="1963541071"/>
      </c:barChart>
      <c:catAx>
        <c:axId val="205711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pt-BR"/>
          </a:p>
        </c:txPr>
        <c:crossAx val="1963541071"/>
        <c:crosses val="autoZero"/>
        <c:auto val="1"/>
        <c:lblAlgn val="ctr"/>
        <c:lblOffset val="100"/>
        <c:noMultiLvlLbl val="0"/>
      </c:catAx>
      <c:valAx>
        <c:axId val="1963541071"/>
        <c:scaling>
          <c:orientation val="minMax"/>
        </c:scaling>
        <c:delete val="0"/>
        <c:axPos val="l"/>
        <c:majorGridlines>
          <c:spPr>
            <a:ln>
              <a:solidFill>
                <a:srgbClr val="DCE2E6"/>
              </a:solidFill>
            </a:ln>
          </c:spPr>
        </c:majorGridlines>
        <c:numFmt formatCode="&quot;R$ &quot;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205711571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" name="SFE_CAT_PAINEL">
          <a:extLst>
            <a:ext uri="{FF2B5EF4-FFF2-40B4-BE49-F238E27FC236}">
              <a16:creationId xmlns:a16="http://schemas.microsoft.com/office/drawing/2014/main" id="{91E1BC5F-73AB-BBA4-2A2F-30CBACC53E01}"/>
            </a:ext>
          </a:extLst>
        </xdr:cNvPr>
        <xdr:cNvSpPr/>
      </xdr:nvSpPr>
      <xdr:spPr>
        <a:xfrm>
          <a:off x="8210550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714375</xdr:colOff>
      <xdr:row>9</xdr:row>
      <xdr:rowOff>139700</xdr:rowOff>
    </xdr:to>
    <xdr:sp macro="" textlink="">
      <xdr:nvSpPr>
        <xdr:cNvPr id="3" name="SFE_CAT_TITULO">
          <a:extLst>
            <a:ext uri="{FF2B5EF4-FFF2-40B4-BE49-F238E27FC236}">
              <a16:creationId xmlns:a16="http://schemas.microsoft.com/office/drawing/2014/main" id="{D1139D09-1E0D-86E7-8CB1-D8C2CCD86168}"/>
            </a:ext>
          </a:extLst>
        </xdr:cNvPr>
        <xdr:cNvSpPr txBox="1"/>
      </xdr:nvSpPr>
      <xdr:spPr>
        <a:xfrm>
          <a:off x="8401050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295275</xdr:colOff>
      <xdr:row>10</xdr:row>
      <xdr:rowOff>146049</xdr:rowOff>
    </xdr:from>
    <xdr:to>
      <xdr:col>10</xdr:col>
      <xdr:colOff>777875</xdr:colOff>
      <xdr:row>12</xdr:row>
      <xdr:rowOff>222249</xdr:rowOff>
    </xdr:to>
    <xdr:sp macro="" textlink="">
      <xdr:nvSpPr>
        <xdr:cNvPr id="4" name="SFE_CAT_ORELHA1">
          <a:extLst>
            <a:ext uri="{FF2B5EF4-FFF2-40B4-BE49-F238E27FC236}">
              <a16:creationId xmlns:a16="http://schemas.microsoft.com/office/drawing/2014/main" id="{2F4E09FA-A295-B7C1-6D46-6D10469C2322}"/>
            </a:ext>
          </a:extLst>
        </xdr:cNvPr>
        <xdr:cNvSpPr/>
      </xdr:nvSpPr>
      <xdr:spPr>
        <a:xfrm rot="20100000">
          <a:off x="94107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146049</xdr:rowOff>
    </xdr:from>
    <xdr:to>
      <xdr:col>11</xdr:col>
      <xdr:colOff>609600</xdr:colOff>
      <xdr:row>12</xdr:row>
      <xdr:rowOff>222249</xdr:rowOff>
    </xdr:to>
    <xdr:sp macro="" textlink="">
      <xdr:nvSpPr>
        <xdr:cNvPr id="5" name="SFE_CAT_ORELHA2">
          <a:extLst>
            <a:ext uri="{FF2B5EF4-FFF2-40B4-BE49-F238E27FC236}">
              <a16:creationId xmlns:a16="http://schemas.microsoft.com/office/drawing/2014/main" id="{D2FAC797-31C9-E9CC-4939-1496D25CC1CC}"/>
            </a:ext>
          </a:extLst>
        </xdr:cNvPr>
        <xdr:cNvSpPr/>
      </xdr:nvSpPr>
      <xdr:spPr>
        <a:xfrm rot="1500000">
          <a:off x="101473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174625</xdr:colOff>
      <xdr:row>11</xdr:row>
      <xdr:rowOff>57149</xdr:rowOff>
    </xdr:from>
    <xdr:to>
      <xdr:col>11</xdr:col>
      <xdr:colOff>730250</xdr:colOff>
      <xdr:row>17</xdr:row>
      <xdr:rowOff>3174</xdr:rowOff>
    </xdr:to>
    <xdr:sp macro="" textlink="">
      <xdr:nvSpPr>
        <xdr:cNvPr id="6" name="SFE_CAT_CABECA">
          <a:extLst>
            <a:ext uri="{FF2B5EF4-FFF2-40B4-BE49-F238E27FC236}">
              <a16:creationId xmlns:a16="http://schemas.microsoft.com/office/drawing/2014/main" id="{905B343E-099F-D0AB-325E-51A965201B6E}"/>
            </a:ext>
          </a:extLst>
        </xdr:cNvPr>
        <xdr:cNvSpPr/>
      </xdr:nvSpPr>
      <xdr:spPr>
        <a:xfrm>
          <a:off x="9290050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498475</xdr:colOff>
      <xdr:row>13</xdr:row>
      <xdr:rowOff>101599</xdr:rowOff>
    </xdr:from>
    <xdr:to>
      <xdr:col>10</xdr:col>
      <xdr:colOff>650875</xdr:colOff>
      <xdr:row>14</xdr:row>
      <xdr:rowOff>6349</xdr:rowOff>
    </xdr:to>
    <xdr:sp macro="" textlink="">
      <xdr:nvSpPr>
        <xdr:cNvPr id="7" name="SFE_CAT_OLHO1">
          <a:extLst>
            <a:ext uri="{FF2B5EF4-FFF2-40B4-BE49-F238E27FC236}">
              <a16:creationId xmlns:a16="http://schemas.microsoft.com/office/drawing/2014/main" id="{2C7CE24E-E32C-6523-774D-E48F8E6AC9A6}"/>
            </a:ext>
          </a:extLst>
        </xdr:cNvPr>
        <xdr:cNvSpPr/>
      </xdr:nvSpPr>
      <xdr:spPr>
        <a:xfrm>
          <a:off x="96139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101599</xdr:rowOff>
    </xdr:from>
    <xdr:to>
      <xdr:col>11</xdr:col>
      <xdr:colOff>431800</xdr:colOff>
      <xdr:row>14</xdr:row>
      <xdr:rowOff>6349</xdr:rowOff>
    </xdr:to>
    <xdr:sp macro="" textlink="">
      <xdr:nvSpPr>
        <xdr:cNvPr id="8" name="SFE_CAT_OLHO2">
          <a:extLst>
            <a:ext uri="{FF2B5EF4-FFF2-40B4-BE49-F238E27FC236}">
              <a16:creationId xmlns:a16="http://schemas.microsoft.com/office/drawing/2014/main" id="{EB13A6DE-8B91-0F8E-3BE6-5E0C868E0C37}"/>
            </a:ext>
          </a:extLst>
        </xdr:cNvPr>
        <xdr:cNvSpPr/>
      </xdr:nvSpPr>
      <xdr:spPr>
        <a:xfrm>
          <a:off x="102997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815975</xdr:colOff>
      <xdr:row>14</xdr:row>
      <xdr:rowOff>107949</xdr:rowOff>
    </xdr:from>
    <xdr:to>
      <xdr:col>11</xdr:col>
      <xdr:colOff>88900</xdr:colOff>
      <xdr:row>14</xdr:row>
      <xdr:rowOff>234949</xdr:rowOff>
    </xdr:to>
    <xdr:sp macro="" textlink="">
      <xdr:nvSpPr>
        <xdr:cNvPr id="9" name="SFE_CAT_NARIZ">
          <a:extLst>
            <a:ext uri="{FF2B5EF4-FFF2-40B4-BE49-F238E27FC236}">
              <a16:creationId xmlns:a16="http://schemas.microsoft.com/office/drawing/2014/main" id="{7FAB09A2-D792-79CF-9FCE-19B71B622255}"/>
            </a:ext>
          </a:extLst>
        </xdr:cNvPr>
        <xdr:cNvSpPr/>
      </xdr:nvSpPr>
      <xdr:spPr>
        <a:xfrm rot="10800000">
          <a:off x="9931400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142875</xdr:colOff>
      <xdr:row>14</xdr:row>
      <xdr:rowOff>234949</xdr:rowOff>
    </xdr:from>
    <xdr:to>
      <xdr:col>11</xdr:col>
      <xdr:colOff>254000</xdr:colOff>
      <xdr:row>17</xdr:row>
      <xdr:rowOff>225424</xdr:rowOff>
    </xdr:to>
    <xdr:sp macro="" textlink="">
      <xdr:nvSpPr>
        <xdr:cNvPr id="10" name="SFE_CAT_BOCA">
          <a:extLst>
            <a:ext uri="{FF2B5EF4-FFF2-40B4-BE49-F238E27FC236}">
              <a16:creationId xmlns:a16="http://schemas.microsoft.com/office/drawing/2014/main" id="{6DAB3E14-B5BC-6476-A472-603F07B747FA}"/>
            </a:ext>
          </a:extLst>
        </xdr:cNvPr>
        <xdr:cNvSpPr/>
      </xdr:nvSpPr>
      <xdr:spPr>
        <a:xfrm>
          <a:off x="9258300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14</xdr:row>
      <xdr:rowOff>146049</xdr:rowOff>
    </xdr:from>
    <xdr:to>
      <xdr:col>10</xdr:col>
      <xdr:colOff>485775</xdr:colOff>
      <xdr:row>14</xdr:row>
      <xdr:rowOff>247649</xdr:rowOff>
    </xdr:to>
    <xdr:sp macro="" textlink="">
      <xdr:nvSpPr>
        <xdr:cNvPr id="11" name="SFE_CAT_BOCHECHA1">
          <a:extLst>
            <a:ext uri="{FF2B5EF4-FFF2-40B4-BE49-F238E27FC236}">
              <a16:creationId xmlns:a16="http://schemas.microsoft.com/office/drawing/2014/main" id="{B91D9120-D000-96E1-EA3A-BCE2FB633CE2}"/>
            </a:ext>
          </a:extLst>
        </xdr:cNvPr>
        <xdr:cNvSpPr/>
      </xdr:nvSpPr>
      <xdr:spPr>
        <a:xfrm>
          <a:off x="94488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146049</xdr:rowOff>
    </xdr:from>
    <xdr:to>
      <xdr:col>11</xdr:col>
      <xdr:colOff>571500</xdr:colOff>
      <xdr:row>14</xdr:row>
      <xdr:rowOff>247649</xdr:rowOff>
    </xdr:to>
    <xdr:sp macro="" textlink="">
      <xdr:nvSpPr>
        <xdr:cNvPr id="12" name="SFE_CAT_BOCHECHA2">
          <a:extLst>
            <a:ext uri="{FF2B5EF4-FFF2-40B4-BE49-F238E27FC236}">
              <a16:creationId xmlns:a16="http://schemas.microsoft.com/office/drawing/2014/main" id="{9BD31E1D-BD93-02CE-1FE3-085BE8188A91}"/>
            </a:ext>
          </a:extLst>
        </xdr:cNvPr>
        <xdr:cNvSpPr/>
      </xdr:nvSpPr>
      <xdr:spPr>
        <a:xfrm>
          <a:off x="104394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225425</xdr:rowOff>
    </xdr:from>
    <xdr:to>
      <xdr:col>12</xdr:col>
      <xdr:colOff>650875</xdr:colOff>
      <xdr:row>22</xdr:row>
      <xdr:rowOff>292100</xdr:rowOff>
    </xdr:to>
    <xdr:sp macro="" textlink="">
      <xdr:nvSpPr>
        <xdr:cNvPr id="13" name="SFE_CAT_MENSAGEM">
          <a:extLst>
            <a:ext uri="{FF2B5EF4-FFF2-40B4-BE49-F238E27FC236}">
              <a16:creationId xmlns:a16="http://schemas.microsoft.com/office/drawing/2014/main" id="{074C3767-4637-13C2-7CC1-6220D508F2E1}"/>
            </a:ext>
          </a:extLst>
        </xdr:cNvPr>
        <xdr:cNvSpPr txBox="1"/>
      </xdr:nvSpPr>
      <xdr:spPr>
        <a:xfrm>
          <a:off x="8464550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26</xdr:row>
      <xdr:rowOff>38100</xdr:rowOff>
    </xdr:from>
    <xdr:to>
      <xdr:col>8</xdr:col>
      <xdr:colOff>917575</xdr:colOff>
      <xdr:row>34</xdr:row>
      <xdr:rowOff>238125</xdr:rowOff>
    </xdr:to>
    <xdr:graphicFrame macro="">
      <xdr:nvGraphicFramePr>
        <xdr:cNvPr id="8" name="chtV2DistribuicaoDespesas">
          <a:extLst>
            <a:ext uri="{FF2B5EF4-FFF2-40B4-BE49-F238E27FC236}">
              <a16:creationId xmlns:a16="http://schemas.microsoft.com/office/drawing/2014/main" id="{F2CFE187-3FAC-81AB-2C61-F9AD12FF63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9" name="chtV2ReceitasDespesas">
          <a:extLst>
            <a:ext uri="{FF2B5EF4-FFF2-40B4-BE49-F238E27FC236}">
              <a16:creationId xmlns:a16="http://schemas.microsoft.com/office/drawing/2014/main" id="{7C44FB6A-61B9-77FC-48F8-A263F071C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5" totalsRowShown="0">
  <autoFilter ref="A1:K5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insertRow="1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1" width="13.5703125" style="7" customWidth="1"/>
    <col min="2" max="2" width="14.5703125" style="7" customWidth="1"/>
    <col min="3" max="13" width="13.5703125" style="7" customWidth="1"/>
    <col min="14" max="14" width="13.5703125" style="7" hidden="1" customWidth="1"/>
    <col min="15" max="15" width="0" style="8" hidden="1" customWidth="1"/>
    <col min="16" max="16" width="0" style="7" hidden="1" customWidth="1"/>
    <col min="17" max="17" width="11.5703125" style="7" hidden="1" customWidth="1"/>
    <col min="18" max="18" width="0" style="8" hidden="1" customWidth="1"/>
    <col min="19" max="26" width="0" style="7" hidden="1" customWidth="1"/>
    <col min="27" max="16384" width="8.7109375" style="7"/>
  </cols>
  <sheetData>
    <row r="1" spans="1:26" ht="36" customHeight="1" x14ac:dyDescent="0.25">
      <c r="A1" s="45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46" t="s">
        <v>97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N2" t="s">
        <v>75</v>
      </c>
      <c r="O2" s="4">
        <v>0</v>
      </c>
      <c r="P2"/>
      <c r="Q2" t="s">
        <v>85</v>
      </c>
      <c r="R2" s="4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4"/>
      <c r="P3"/>
      <c r="Q3" t="s">
        <v>86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47" t="s">
        <v>64</v>
      </c>
      <c r="B4" s="47"/>
      <c r="C4" s="47"/>
      <c r="D4" s="50" t="s">
        <v>65</v>
      </c>
      <c r="E4" s="50"/>
      <c r="F4" s="50"/>
      <c r="G4" s="52" t="s">
        <v>78</v>
      </c>
      <c r="H4" s="52"/>
      <c r="I4" s="52"/>
      <c r="J4" s="54" t="s">
        <v>66</v>
      </c>
      <c r="K4" s="54"/>
      <c r="L4" s="54"/>
      <c r="N4"/>
      <c r="O4" s="4"/>
      <c r="P4"/>
      <c r="Q4" t="s">
        <v>87</v>
      </c>
      <c r="R4" s="4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48">
        <f>SUMIF(Lançamentos!C:C,"Receita",Lançamentos!F:F)</f>
        <v>3600</v>
      </c>
      <c r="B5" s="48"/>
      <c r="C5" s="48"/>
      <c r="D5" s="51">
        <f>SUMIF(Lançamentos!C:C,"Despesa",Lançamentos!F:F)</f>
        <v>750</v>
      </c>
      <c r="E5" s="51"/>
      <c r="F5" s="51"/>
      <c r="G5" s="53">
        <f t="shared" ref="G5" si="0">B12-B13</f>
        <v>2850</v>
      </c>
      <c r="H5" s="53"/>
      <c r="I5" s="53"/>
      <c r="J5" s="55">
        <f>COUNTA(Lançamentos!B:B)-1</f>
        <v>4</v>
      </c>
      <c r="K5" s="55"/>
      <c r="L5" s="55"/>
      <c r="N5"/>
      <c r="O5" s="4"/>
      <c r="P5"/>
      <c r="Q5" t="s">
        <v>88</v>
      </c>
      <c r="R5" s="4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48"/>
      <c r="B6" s="48"/>
      <c r="C6" s="48"/>
      <c r="D6" s="51"/>
      <c r="E6" s="51"/>
      <c r="F6" s="51"/>
      <c r="G6" s="53"/>
      <c r="H6" s="53"/>
      <c r="I6" s="53"/>
      <c r="J6" s="55"/>
      <c r="K6" s="55"/>
      <c r="L6" s="55"/>
      <c r="N6"/>
      <c r="O6" s="4"/>
      <c r="P6"/>
      <c r="Q6" t="s">
        <v>89</v>
      </c>
      <c r="R6" s="4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N7"/>
      <c r="O7" s="4"/>
      <c r="P7"/>
      <c r="Q7" t="s">
        <v>90</v>
      </c>
      <c r="R7" s="4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4"/>
      <c r="P8"/>
      <c r="Q8" t="s">
        <v>91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7" t="s">
        <v>67</v>
      </c>
      <c r="B9" s="17"/>
      <c r="C9" s="17"/>
      <c r="D9" s="17"/>
      <c r="F9" s="17" t="s">
        <v>72</v>
      </c>
      <c r="G9" s="17"/>
      <c r="H9" s="17"/>
      <c r="I9" s="17"/>
      <c r="J9" s="17"/>
      <c r="K9" s="17"/>
      <c r="L9" s="17"/>
      <c r="N9"/>
      <c r="O9" s="4"/>
      <c r="P9"/>
      <c r="Q9" t="s">
        <v>92</v>
      </c>
      <c r="R9" s="4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62"/>
      <c r="B10" s="62"/>
      <c r="G10" s="62"/>
      <c r="H10" s="62"/>
      <c r="I10" s="62"/>
      <c r="J10" s="62"/>
      <c r="K10" s="62"/>
      <c r="L10" s="62"/>
      <c r="N10"/>
      <c r="O10" s="4"/>
      <c r="P10"/>
      <c r="Q10" t="s">
        <v>93</v>
      </c>
      <c r="R10" s="4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56" t="s">
        <v>73</v>
      </c>
      <c r="B11" s="56" t="s">
        <v>6</v>
      </c>
      <c r="N11"/>
      <c r="O11" s="4"/>
      <c r="P11"/>
      <c r="Q11" t="s">
        <v>94</v>
      </c>
      <c r="R11" s="4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57" t="s">
        <v>68</v>
      </c>
      <c r="B12" s="58">
        <f>SUMIF(Lançamentos!C:C,"Receita",Lançamentos!F:F)</f>
        <v>3600</v>
      </c>
      <c r="N12"/>
      <c r="O12" s="4"/>
      <c r="P12"/>
      <c r="Q12" t="s">
        <v>95</v>
      </c>
      <c r="R12" s="4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57" t="s">
        <v>69</v>
      </c>
      <c r="B13" s="59">
        <f>SUMIF(Lançamentos!C:C,"Despesa",Lançamentos!F:F)</f>
        <v>750</v>
      </c>
      <c r="N13"/>
      <c r="O13" s="4"/>
      <c r="P13"/>
      <c r="Q13" t="s">
        <v>96</v>
      </c>
      <c r="R13" s="4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57" t="s">
        <v>70</v>
      </c>
      <c r="B14" s="60">
        <f>B12-B13</f>
        <v>2850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57" t="s">
        <v>71</v>
      </c>
      <c r="B15" s="61">
        <f>COUNTA(Lançamentos!B:B)-1</f>
        <v>4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1.95" customHeight="1" x14ac:dyDescent="0.25">
      <c r="A17" s="17" t="s">
        <v>77</v>
      </c>
      <c r="B17" s="17"/>
      <c r="C17" s="17"/>
      <c r="D17" s="17"/>
      <c r="F17" s="18" t="s">
        <v>81</v>
      </c>
      <c r="G17" s="18"/>
      <c r="H17" s="18"/>
      <c r="I17" s="18"/>
      <c r="J17" s="19" t="s">
        <v>79</v>
      </c>
      <c r="K17" s="20"/>
      <c r="L17" s="21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25">
      <c r="A18" s="43" t="s">
        <v>80</v>
      </c>
      <c r="B18" s="43"/>
      <c r="C18" s="43"/>
      <c r="D18" s="43"/>
      <c r="F18" s="13" t="s">
        <v>68</v>
      </c>
      <c r="G18" s="14">
        <v>3600</v>
      </c>
      <c r="H18" s="10"/>
      <c r="I18" s="10"/>
      <c r="J18" s="22"/>
      <c r="K18" s="23"/>
      <c r="L18" s="24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25">
      <c r="A19" s="43"/>
      <c r="B19" s="43"/>
      <c r="C19" s="43"/>
      <c r="D19" s="43"/>
      <c r="F19" s="13" t="s">
        <v>69</v>
      </c>
      <c r="G19" s="14">
        <v>0</v>
      </c>
      <c r="H19" s="10"/>
      <c r="I19" s="10"/>
      <c r="J19" s="25">
        <v>0.95</v>
      </c>
      <c r="K19" s="26"/>
      <c r="L19" s="27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25">
      <c r="A20" s="43"/>
      <c r="B20" s="43"/>
      <c r="C20" s="43"/>
      <c r="D20" s="43"/>
      <c r="F20" s="13" t="s">
        <v>70</v>
      </c>
      <c r="G20" s="14">
        <v>3600</v>
      </c>
      <c r="H20" s="10"/>
      <c r="I20" s="10"/>
      <c r="J20" s="28"/>
      <c r="K20" s="29"/>
      <c r="L20" s="30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25">
      <c r="A21" s="43"/>
      <c r="B21" s="43"/>
      <c r="C21" s="43"/>
      <c r="D21" s="43"/>
      <c r="F21" s="13" t="s">
        <v>82</v>
      </c>
      <c r="G21" s="15">
        <v>1</v>
      </c>
      <c r="H21" s="10"/>
      <c r="I21" s="10"/>
      <c r="J21" s="31"/>
      <c r="K21" s="32"/>
      <c r="L21" s="33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1.95" customHeight="1" x14ac:dyDescent="0.25">
      <c r="A22" s="43"/>
      <c r="B22" s="43"/>
      <c r="C22" s="43"/>
      <c r="D22" s="43"/>
      <c r="F22" s="10"/>
      <c r="G22" s="10"/>
      <c r="H22" s="10"/>
      <c r="I22" s="10"/>
      <c r="J22" s="34" t="s">
        <v>83</v>
      </c>
      <c r="K22" s="35"/>
      <c r="L22" s="36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25">
      <c r="A23" s="43"/>
      <c r="B23" s="43"/>
      <c r="C23" s="43"/>
      <c r="D23" s="43"/>
      <c r="F23" s="10"/>
      <c r="G23" s="10"/>
      <c r="H23" s="10"/>
      <c r="I23" s="10"/>
      <c r="J23" s="37" t="s">
        <v>84</v>
      </c>
      <c r="K23" s="38"/>
      <c r="L23" s="39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25">
      <c r="A24" s="43"/>
      <c r="B24" s="43"/>
      <c r="C24" s="43"/>
      <c r="D24" s="43"/>
      <c r="F24" s="10"/>
      <c r="G24" s="10"/>
      <c r="H24" s="10"/>
      <c r="I24" s="10"/>
      <c r="J24" s="40"/>
      <c r="K24" s="41"/>
      <c r="L24" s="42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25">
      <c r="A27" s="18" t="s">
        <v>74</v>
      </c>
      <c r="B27" s="18"/>
      <c r="C27" s="18"/>
      <c r="D27" s="18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6" t="s">
        <v>4</v>
      </c>
      <c r="B28" s="16" t="s">
        <v>6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R35"/>
  <sheetViews>
    <sheetView showGridLines="0" tabSelected="1" topLeftCell="A18" zoomScale="80" zoomScaleNormal="80" workbookViewId="0">
      <selection activeCell="D5" sqref="D5:F6"/>
    </sheetView>
  </sheetViews>
  <sheetFormatPr defaultRowHeight="13.5" x14ac:dyDescent="0.25"/>
  <cols>
    <col min="1" max="3" width="5.7109375" style="63" customWidth="1"/>
    <col min="4" max="15" width="14.7109375" style="63" customWidth="1"/>
    <col min="16" max="16" width="9.140625" style="63"/>
    <col min="17" max="18" width="0" style="63" hidden="1" customWidth="1"/>
    <col min="19" max="16384" width="9.140625" style="63"/>
  </cols>
  <sheetData>
    <row r="1" spans="1:18" ht="26.1" customHeight="1" x14ac:dyDescent="0.25">
      <c r="A1" s="64"/>
      <c r="B1" s="64"/>
      <c r="C1" s="64"/>
      <c r="D1" s="116" t="s">
        <v>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Q1" s="63" t="s">
        <v>4</v>
      </c>
      <c r="R1" s="63" t="s">
        <v>6</v>
      </c>
    </row>
    <row r="2" spans="1:18" ht="26.1" customHeight="1" x14ac:dyDescent="0.25">
      <c r="A2" s="65" t="s">
        <v>99</v>
      </c>
      <c r="B2" s="65"/>
      <c r="C2" s="65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Q2" s="63" t="s">
        <v>21</v>
      </c>
      <c r="R2" s="63">
        <v>300</v>
      </c>
    </row>
    <row r="3" spans="1:18" ht="26.1" customHeight="1" x14ac:dyDescent="0.25">
      <c r="A3" s="65"/>
      <c r="B3" s="65"/>
      <c r="C3" s="65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Q3" s="63" t="s">
        <v>28</v>
      </c>
      <c r="R3" s="63">
        <v>200</v>
      </c>
    </row>
    <row r="4" spans="1:18" ht="18" customHeight="1" x14ac:dyDescent="0.25">
      <c r="A4" s="65"/>
      <c r="B4" s="65"/>
      <c r="C4" s="65"/>
      <c r="D4" s="117" t="s">
        <v>98</v>
      </c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Q4" s="63" t="s">
        <v>24</v>
      </c>
      <c r="R4" s="63">
        <v>250</v>
      </c>
    </row>
    <row r="5" spans="1:18" ht="24" customHeight="1" x14ac:dyDescent="0.25">
      <c r="A5" s="64"/>
      <c r="B5" s="64"/>
      <c r="C5" s="64"/>
      <c r="D5" s="121" t="s">
        <v>64</v>
      </c>
      <c r="E5" s="122"/>
      <c r="F5" s="123"/>
      <c r="G5" s="76" t="s">
        <v>65</v>
      </c>
      <c r="H5" s="77"/>
      <c r="I5" s="78"/>
      <c r="J5" s="89" t="s">
        <v>78</v>
      </c>
      <c r="K5" s="90"/>
      <c r="L5" s="91"/>
      <c r="M5" s="102" t="s">
        <v>66</v>
      </c>
      <c r="N5" s="103"/>
      <c r="O5" s="104"/>
    </row>
    <row r="6" spans="1:18" ht="24" customHeight="1" x14ac:dyDescent="0.25">
      <c r="A6" s="66" t="s">
        <v>100</v>
      </c>
      <c r="B6" s="66"/>
      <c r="C6" s="66"/>
      <c r="D6" s="124"/>
      <c r="E6" s="125"/>
      <c r="F6" s="126"/>
      <c r="G6" s="79"/>
      <c r="H6" s="80"/>
      <c r="I6" s="81"/>
      <c r="J6" s="92"/>
      <c r="K6" s="93"/>
      <c r="L6" s="94"/>
      <c r="M6" s="105"/>
      <c r="N6" s="106"/>
      <c r="O6" s="107"/>
    </row>
    <row r="7" spans="1:18" ht="24" customHeight="1" x14ac:dyDescent="0.25">
      <c r="A7" s="66"/>
      <c r="B7" s="66"/>
      <c r="C7" s="66"/>
      <c r="D7" s="69">
        <f>Dashboard!B12</f>
        <v>3600</v>
      </c>
      <c r="E7" s="70"/>
      <c r="F7" s="71"/>
      <c r="G7" s="82">
        <f>Dashboard!B13</f>
        <v>750</v>
      </c>
      <c r="H7" s="83"/>
      <c r="I7" s="84"/>
      <c r="J7" s="95">
        <f>Dashboard!B14</f>
        <v>2850</v>
      </c>
      <c r="K7" s="96"/>
      <c r="L7" s="97"/>
      <c r="M7" s="108">
        <f>Dashboard!B15</f>
        <v>4</v>
      </c>
      <c r="N7" s="109"/>
      <c r="O7" s="110"/>
    </row>
    <row r="8" spans="1:18" ht="24" customHeight="1" x14ac:dyDescent="0.25">
      <c r="A8" s="64"/>
      <c r="B8" s="64"/>
      <c r="C8" s="64"/>
      <c r="D8" s="72"/>
      <c r="E8" s="73"/>
      <c r="F8" s="74"/>
      <c r="G8" s="85"/>
      <c r="H8" s="86"/>
      <c r="I8" s="87"/>
      <c r="J8" s="98"/>
      <c r="K8" s="99"/>
      <c r="L8" s="100"/>
      <c r="M8" s="111"/>
      <c r="N8" s="112"/>
      <c r="O8" s="113"/>
    </row>
    <row r="9" spans="1:18" ht="24" customHeight="1" x14ac:dyDescent="0.25">
      <c r="A9" s="67" t="s">
        <v>71</v>
      </c>
      <c r="B9" s="67"/>
      <c r="C9" s="67"/>
      <c r="D9" s="68"/>
      <c r="E9" s="68"/>
      <c r="F9" s="68"/>
      <c r="G9" s="75"/>
      <c r="H9" s="75"/>
      <c r="I9" s="75"/>
      <c r="J9" s="88"/>
      <c r="K9" s="88"/>
      <c r="L9" s="88"/>
      <c r="M9" s="101"/>
      <c r="N9" s="101"/>
      <c r="O9" s="101"/>
    </row>
    <row r="10" spans="1:18" ht="9.9499999999999993" customHeight="1" x14ac:dyDescent="0.25">
      <c r="A10" s="67"/>
      <c r="B10" s="67"/>
      <c r="C10" s="67"/>
    </row>
    <row r="11" spans="1:18" ht="21.95" customHeight="1" x14ac:dyDescent="0.25">
      <c r="A11" s="64"/>
      <c r="B11" s="64"/>
      <c r="C11" s="64"/>
    </row>
    <row r="12" spans="1:18" ht="21.95" customHeight="1" x14ac:dyDescent="0.25">
      <c r="A12" s="67" t="s">
        <v>68</v>
      </c>
      <c r="B12" s="67"/>
      <c r="C12" s="67"/>
      <c r="D12" s="118" t="s">
        <v>104</v>
      </c>
      <c r="E12" s="119"/>
      <c r="F12" s="119"/>
      <c r="G12" s="119"/>
      <c r="H12" s="119"/>
      <c r="I12" s="120"/>
      <c r="J12" s="114" t="s">
        <v>105</v>
      </c>
      <c r="K12" s="114"/>
      <c r="L12" s="114"/>
      <c r="M12" s="114"/>
      <c r="N12" s="114"/>
      <c r="O12" s="114"/>
    </row>
    <row r="13" spans="1:18" ht="21.95" customHeight="1" x14ac:dyDescent="0.25">
      <c r="A13" s="67"/>
      <c r="B13" s="67"/>
      <c r="C13" s="67"/>
      <c r="D13" s="115"/>
      <c r="E13" s="115"/>
      <c r="F13" s="115"/>
      <c r="G13" s="115"/>
      <c r="H13" s="115"/>
      <c r="I13" s="115"/>
      <c r="J13" s="114"/>
      <c r="K13" s="114"/>
      <c r="L13" s="114"/>
      <c r="M13" s="114"/>
      <c r="N13" s="114"/>
      <c r="O13" s="114"/>
    </row>
    <row r="14" spans="1:18" ht="21.95" customHeight="1" x14ac:dyDescent="0.25">
      <c r="A14" s="64"/>
      <c r="B14" s="64"/>
      <c r="C14" s="64"/>
      <c r="D14" s="115"/>
      <c r="E14" s="115"/>
      <c r="F14" s="115"/>
      <c r="G14" s="115"/>
      <c r="H14" s="115"/>
      <c r="I14" s="115"/>
      <c r="J14" s="114"/>
      <c r="K14" s="114"/>
      <c r="L14" s="114"/>
      <c r="M14" s="114"/>
      <c r="N14" s="114"/>
      <c r="O14" s="114"/>
    </row>
    <row r="15" spans="1:18" ht="21.95" customHeight="1" x14ac:dyDescent="0.25">
      <c r="A15" s="67" t="s">
        <v>69</v>
      </c>
      <c r="B15" s="67"/>
      <c r="C15" s="67"/>
      <c r="D15" s="115"/>
      <c r="E15" s="115"/>
      <c r="F15" s="115"/>
      <c r="G15" s="115"/>
      <c r="H15" s="115"/>
      <c r="I15" s="115"/>
      <c r="J15" s="114"/>
      <c r="K15" s="114"/>
      <c r="L15" s="114"/>
      <c r="M15" s="114"/>
      <c r="N15" s="114"/>
      <c r="O15" s="114"/>
    </row>
    <row r="16" spans="1:18" ht="21.95" customHeight="1" x14ac:dyDescent="0.25">
      <c r="A16" s="67"/>
      <c r="B16" s="67"/>
      <c r="C16" s="67"/>
      <c r="D16" s="115"/>
      <c r="E16" s="115"/>
      <c r="F16" s="115"/>
      <c r="G16" s="115"/>
      <c r="H16" s="115"/>
      <c r="I16" s="115"/>
      <c r="J16" s="114"/>
      <c r="K16" s="114"/>
      <c r="L16" s="114"/>
      <c r="M16" s="114"/>
      <c r="N16" s="114"/>
      <c r="O16" s="114"/>
    </row>
    <row r="17" spans="1:15" ht="21.95" customHeight="1" x14ac:dyDescent="0.25">
      <c r="A17" s="64"/>
      <c r="B17" s="64"/>
      <c r="C17" s="64"/>
      <c r="D17" s="115"/>
      <c r="E17" s="115"/>
      <c r="F17" s="115"/>
      <c r="G17" s="115"/>
      <c r="H17" s="115"/>
      <c r="I17" s="115"/>
      <c r="J17" s="114"/>
      <c r="K17" s="114"/>
      <c r="L17" s="114"/>
      <c r="M17" s="114"/>
      <c r="N17" s="114"/>
      <c r="O17" s="114"/>
    </row>
    <row r="18" spans="1:15" ht="21.95" customHeight="1" x14ac:dyDescent="0.25">
      <c r="A18" s="67" t="s">
        <v>101</v>
      </c>
      <c r="B18" s="67"/>
      <c r="C18" s="67"/>
      <c r="D18" s="115"/>
      <c r="E18" s="115"/>
      <c r="F18" s="115"/>
      <c r="G18" s="115"/>
      <c r="H18" s="115"/>
      <c r="I18" s="115"/>
      <c r="J18" s="114"/>
      <c r="K18" s="114"/>
      <c r="L18" s="114"/>
      <c r="M18" s="114"/>
      <c r="N18" s="114"/>
      <c r="O18" s="114"/>
    </row>
    <row r="19" spans="1:15" ht="21.95" customHeight="1" x14ac:dyDescent="0.25">
      <c r="A19" s="67"/>
      <c r="B19" s="67"/>
      <c r="C19" s="67"/>
      <c r="D19" s="115"/>
      <c r="E19" s="115"/>
      <c r="F19" s="115"/>
      <c r="G19" s="115"/>
      <c r="H19" s="115"/>
      <c r="I19" s="115"/>
      <c r="J19" s="114"/>
      <c r="K19" s="114"/>
      <c r="L19" s="114"/>
      <c r="M19" s="114"/>
      <c r="N19" s="114"/>
      <c r="O19" s="114"/>
    </row>
    <row r="20" spans="1:15" ht="21.95" customHeight="1" x14ac:dyDescent="0.25">
      <c r="A20" s="64"/>
      <c r="B20" s="64"/>
      <c r="C20" s="64"/>
      <c r="D20" s="115"/>
      <c r="E20" s="115"/>
      <c r="F20" s="115"/>
      <c r="G20" s="115"/>
      <c r="H20" s="115"/>
      <c r="I20" s="115"/>
      <c r="J20" s="114"/>
      <c r="K20" s="114"/>
      <c r="L20" s="114"/>
      <c r="M20" s="114"/>
      <c r="N20" s="114"/>
      <c r="O20" s="114"/>
    </row>
    <row r="21" spans="1:15" ht="21.95" customHeight="1" x14ac:dyDescent="0.25">
      <c r="A21" s="67" t="s">
        <v>102</v>
      </c>
      <c r="B21" s="67"/>
      <c r="C21" s="67"/>
      <c r="D21" s="115"/>
      <c r="E21" s="115"/>
      <c r="F21" s="115"/>
      <c r="G21" s="115"/>
      <c r="H21" s="115"/>
      <c r="I21" s="115"/>
      <c r="J21" s="114"/>
      <c r="K21" s="114"/>
      <c r="L21" s="114"/>
      <c r="M21" s="114"/>
      <c r="N21" s="114"/>
      <c r="O21" s="114"/>
    </row>
    <row r="22" spans="1:15" ht="21.95" customHeight="1" x14ac:dyDescent="0.25">
      <c r="A22" s="67"/>
      <c r="B22" s="67"/>
      <c r="C22" s="67"/>
      <c r="D22" s="115"/>
      <c r="E22" s="115"/>
      <c r="F22" s="115"/>
      <c r="G22" s="115"/>
      <c r="H22" s="115"/>
      <c r="I22" s="115"/>
      <c r="J22" s="114"/>
      <c r="K22" s="114"/>
      <c r="L22" s="114"/>
      <c r="M22" s="114"/>
      <c r="N22" s="114"/>
      <c r="O22" s="114"/>
    </row>
    <row r="23" spans="1:15" ht="21.95" customHeight="1" x14ac:dyDescent="0.25">
      <c r="A23" s="64"/>
      <c r="B23" s="64"/>
      <c r="C23" s="64"/>
      <c r="D23" s="115"/>
      <c r="E23" s="115"/>
      <c r="F23" s="115"/>
      <c r="G23" s="115"/>
      <c r="H23" s="115"/>
      <c r="I23" s="115"/>
      <c r="J23" s="114"/>
      <c r="K23" s="114"/>
      <c r="L23" s="114"/>
      <c r="M23" s="114"/>
      <c r="N23" s="114"/>
      <c r="O23" s="114"/>
    </row>
    <row r="24" spans="1:15" ht="21.95" customHeight="1" x14ac:dyDescent="0.25">
      <c r="A24" s="67" t="s">
        <v>103</v>
      </c>
      <c r="B24" s="67"/>
      <c r="C24" s="67"/>
      <c r="D24" s="115"/>
      <c r="E24" s="115"/>
      <c r="F24" s="115"/>
      <c r="G24" s="115"/>
      <c r="H24" s="115"/>
      <c r="I24" s="115"/>
      <c r="J24" s="114"/>
      <c r="K24" s="114"/>
      <c r="L24" s="114"/>
      <c r="M24" s="114"/>
      <c r="N24" s="114"/>
      <c r="O24" s="114"/>
    </row>
    <row r="25" spans="1:15" ht="21.95" customHeight="1" x14ac:dyDescent="0.25">
      <c r="A25" s="67"/>
      <c r="B25" s="67"/>
      <c r="C25" s="67"/>
    </row>
    <row r="26" spans="1:15" ht="21.95" customHeight="1" x14ac:dyDescent="0.25">
      <c r="A26" s="64"/>
      <c r="B26" s="64"/>
      <c r="C26" s="64"/>
      <c r="D26" s="118" t="s">
        <v>74</v>
      </c>
      <c r="E26" s="119"/>
      <c r="F26" s="119"/>
      <c r="G26" s="119"/>
      <c r="H26" s="119"/>
      <c r="I26" s="120"/>
      <c r="J26" s="114" t="s">
        <v>106</v>
      </c>
      <c r="K26" s="114"/>
      <c r="L26" s="114"/>
      <c r="M26" s="114"/>
      <c r="N26" s="114"/>
      <c r="O26" s="114"/>
    </row>
    <row r="27" spans="1:15" ht="21.95" customHeight="1" x14ac:dyDescent="0.25">
      <c r="A27" s="64"/>
      <c r="B27" s="64"/>
      <c r="C27" s="64"/>
      <c r="D27" s="127"/>
      <c r="E27" s="127"/>
      <c r="F27" s="127"/>
      <c r="G27" s="127"/>
      <c r="H27" s="127"/>
      <c r="I27" s="127"/>
      <c r="J27" s="114"/>
      <c r="K27" s="114"/>
      <c r="L27" s="114"/>
      <c r="M27" s="114"/>
      <c r="N27" s="114"/>
      <c r="O27" s="114"/>
    </row>
    <row r="28" spans="1:15" ht="21.95" customHeight="1" x14ac:dyDescent="0.25">
      <c r="A28" s="64"/>
      <c r="B28" s="64"/>
      <c r="C28" s="64"/>
      <c r="D28" s="127"/>
      <c r="E28" s="127"/>
      <c r="F28" s="127"/>
      <c r="G28" s="127"/>
      <c r="H28" s="127"/>
      <c r="I28" s="127"/>
      <c r="J28" s="114"/>
      <c r="K28" s="114"/>
      <c r="L28" s="114"/>
      <c r="M28" s="114"/>
      <c r="N28" s="114"/>
      <c r="O28" s="114"/>
    </row>
    <row r="29" spans="1:15" ht="21.95" customHeight="1" x14ac:dyDescent="0.25">
      <c r="A29" s="64"/>
      <c r="B29" s="64"/>
      <c r="C29" s="64"/>
      <c r="D29" s="127"/>
      <c r="E29" s="127"/>
      <c r="F29" s="127"/>
      <c r="G29" s="127"/>
      <c r="H29" s="127"/>
      <c r="I29" s="127"/>
      <c r="J29" s="114"/>
      <c r="K29" s="114"/>
      <c r="L29" s="114"/>
      <c r="M29" s="114"/>
      <c r="N29" s="114"/>
      <c r="O29" s="114"/>
    </row>
    <row r="30" spans="1:15" ht="21.95" customHeight="1" x14ac:dyDescent="0.25">
      <c r="A30" s="64"/>
      <c r="B30" s="64"/>
      <c r="C30" s="64"/>
      <c r="D30" s="127"/>
      <c r="E30" s="127"/>
      <c r="F30" s="127"/>
      <c r="G30" s="127"/>
      <c r="H30" s="127"/>
      <c r="I30" s="127"/>
      <c r="J30" s="114"/>
      <c r="K30" s="114"/>
      <c r="L30" s="114"/>
      <c r="M30" s="114"/>
      <c r="N30" s="114"/>
      <c r="O30" s="114"/>
    </row>
    <row r="31" spans="1:15" ht="21.95" customHeight="1" x14ac:dyDescent="0.25">
      <c r="A31" s="64"/>
      <c r="B31" s="64"/>
      <c r="C31" s="64"/>
      <c r="D31" s="127"/>
      <c r="E31" s="127"/>
      <c r="F31" s="127"/>
      <c r="G31" s="127"/>
      <c r="H31" s="127"/>
      <c r="I31" s="127"/>
      <c r="J31" s="114"/>
      <c r="K31" s="114"/>
      <c r="L31" s="114"/>
      <c r="M31" s="114"/>
      <c r="N31" s="114"/>
      <c r="O31" s="114"/>
    </row>
    <row r="32" spans="1:15" ht="21.95" customHeight="1" x14ac:dyDescent="0.25">
      <c r="A32" s="64"/>
      <c r="B32" s="64"/>
      <c r="C32" s="64"/>
      <c r="D32" s="127"/>
      <c r="E32" s="127"/>
      <c r="F32" s="127"/>
      <c r="G32" s="127"/>
      <c r="H32" s="127"/>
      <c r="I32" s="127"/>
      <c r="J32" s="114"/>
      <c r="K32" s="114"/>
      <c r="L32" s="114"/>
      <c r="M32" s="114"/>
      <c r="N32" s="114"/>
      <c r="O32" s="114"/>
    </row>
    <row r="33" spans="1:15" ht="21.95" customHeight="1" x14ac:dyDescent="0.25">
      <c r="A33" s="64"/>
      <c r="B33" s="64"/>
      <c r="C33" s="64"/>
      <c r="D33" s="127"/>
      <c r="E33" s="127"/>
      <c r="F33" s="127"/>
      <c r="G33" s="127"/>
      <c r="H33" s="127"/>
      <c r="I33" s="127"/>
      <c r="J33" s="114"/>
      <c r="K33" s="114"/>
      <c r="L33" s="114"/>
      <c r="M33" s="114"/>
      <c r="N33" s="114"/>
      <c r="O33" s="114"/>
    </row>
    <row r="34" spans="1:15" ht="21.95" customHeight="1" x14ac:dyDescent="0.25">
      <c r="A34" s="64"/>
      <c r="B34" s="64"/>
      <c r="C34" s="64"/>
      <c r="D34" s="127"/>
      <c r="E34" s="127"/>
      <c r="F34" s="127"/>
      <c r="G34" s="127"/>
      <c r="H34" s="127"/>
      <c r="I34" s="127"/>
      <c r="J34" s="114"/>
      <c r="K34" s="114"/>
      <c r="L34" s="114"/>
      <c r="M34" s="114"/>
      <c r="N34" s="114"/>
      <c r="O34" s="114"/>
    </row>
    <row r="35" spans="1:15" ht="21.95" customHeight="1" x14ac:dyDescent="0.25">
      <c r="A35" s="64"/>
      <c r="B35" s="64"/>
      <c r="C35" s="64"/>
      <c r="D35" s="127"/>
      <c r="E35" s="127"/>
      <c r="F35" s="127"/>
      <c r="G35" s="127"/>
      <c r="H35" s="127"/>
      <c r="I35" s="127"/>
      <c r="J35" s="114"/>
      <c r="K35" s="114"/>
      <c r="L35" s="114"/>
      <c r="M35" s="114"/>
      <c r="N35" s="114"/>
      <c r="O35" s="114"/>
    </row>
  </sheetData>
  <mergeCells count="22">
    <mergeCell ref="J26:O35"/>
    <mergeCell ref="D12:I12"/>
    <mergeCell ref="D26:I26"/>
    <mergeCell ref="J5:L6"/>
    <mergeCell ref="J7:L8"/>
    <mergeCell ref="M5:O6"/>
    <mergeCell ref="M7:O8"/>
    <mergeCell ref="J12:O24"/>
    <mergeCell ref="A15:C16"/>
    <mergeCell ref="A18:C19"/>
    <mergeCell ref="A21:C22"/>
    <mergeCell ref="A24:C25"/>
    <mergeCell ref="D5:F6"/>
    <mergeCell ref="D7:F8"/>
    <mergeCell ref="D1:O3"/>
    <mergeCell ref="D4:O4"/>
    <mergeCell ref="A2:C4"/>
    <mergeCell ref="A6:C7"/>
    <mergeCell ref="A9:C10"/>
    <mergeCell ref="A12:C13"/>
    <mergeCell ref="G5:I6"/>
    <mergeCell ref="G7:I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F2" sqref="F2"/>
    </sheetView>
  </sheetViews>
  <sheetFormatPr defaultRowHeight="15" x14ac:dyDescent="0.25"/>
  <cols>
    <col min="1" max="1" width="10.5703125" customWidth="1"/>
    <col min="2" max="2" width="12.5703125" style="2" customWidth="1"/>
    <col min="3" max="3" width="14.5703125" customWidth="1"/>
    <col min="4" max="4" width="20.5703125" customWidth="1"/>
    <col min="5" max="5" width="30.5703125" customWidth="1"/>
    <col min="6" max="6" width="14.5703125" style="4" customWidth="1"/>
    <col min="7" max="7" width="20.5703125" customWidth="1"/>
    <col min="8" max="8" width="22.5703125" customWidth="1"/>
    <col min="9" max="9" width="15.5703125" customWidth="1"/>
    <col min="10" max="10" width="35.5703125" customWidth="1"/>
    <col min="11" max="11" width="20.5703125" style="5" customWidth="1"/>
  </cols>
  <sheetData>
    <row r="1" spans="1:11" x14ac:dyDescent="0.2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2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3" spans="1:11" x14ac:dyDescent="0.25">
      <c r="B3" s="3">
        <v>46286</v>
      </c>
      <c r="C3" t="s">
        <v>22</v>
      </c>
      <c r="D3" t="s">
        <v>21</v>
      </c>
      <c r="E3" t="s">
        <v>107</v>
      </c>
      <c r="F3" s="4">
        <v>300</v>
      </c>
      <c r="G3" t="s">
        <v>58</v>
      </c>
      <c r="H3" t="s">
        <v>35</v>
      </c>
      <c r="I3" s="1" t="s">
        <v>56</v>
      </c>
      <c r="J3" t="s">
        <v>108</v>
      </c>
    </row>
    <row r="4" spans="1:11" x14ac:dyDescent="0.25">
      <c r="B4" s="3">
        <v>46286</v>
      </c>
      <c r="C4" t="s">
        <v>22</v>
      </c>
      <c r="D4" t="s">
        <v>28</v>
      </c>
      <c r="E4" t="s">
        <v>109</v>
      </c>
      <c r="F4" s="4">
        <v>200</v>
      </c>
      <c r="G4" t="s">
        <v>58</v>
      </c>
      <c r="H4" t="s">
        <v>35</v>
      </c>
      <c r="I4" s="1" t="s">
        <v>56</v>
      </c>
      <c r="J4" t="s">
        <v>108</v>
      </c>
    </row>
    <row r="5" spans="1:11" x14ac:dyDescent="0.25">
      <c r="B5" s="3">
        <v>46286</v>
      </c>
      <c r="C5" t="s">
        <v>22</v>
      </c>
      <c r="D5" t="s">
        <v>24</v>
      </c>
      <c r="E5" t="s">
        <v>110</v>
      </c>
      <c r="F5" s="4">
        <v>250</v>
      </c>
      <c r="G5" t="s">
        <v>58</v>
      </c>
      <c r="H5" t="s">
        <v>35</v>
      </c>
      <c r="I5" s="1" t="s">
        <v>56</v>
      </c>
      <c r="J5" t="s">
        <v>108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5703125" customWidth="1"/>
    <col min="2" max="2" width="25.5703125" customWidth="1"/>
    <col min="3" max="3" width="18.5703125" customWidth="1"/>
    <col min="4" max="4" width="25.5703125" customWidth="1"/>
    <col min="5" max="5" width="16.5703125" style="4" customWidth="1"/>
    <col min="6" max="6" width="12.570312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2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5703125" customWidth="1"/>
    <col min="2" max="2" width="25.5703125" customWidth="1"/>
    <col min="3" max="3" width="15.5703125" customWidth="1"/>
    <col min="4" max="4" width="12.570312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1"/>
  <sheetViews>
    <sheetView workbookViewId="0"/>
  </sheetViews>
  <sheetFormatPr defaultRowHeight="15" x14ac:dyDescent="0.25"/>
  <cols>
    <col min="1" max="1" width="10.5703125" customWidth="1"/>
    <col min="2" max="2" width="30.5703125" customWidth="1"/>
    <col min="3" max="3" width="20.5703125" customWidth="1"/>
    <col min="4" max="5" width="18.5703125" style="4" customWidth="1"/>
    <col min="6" max="6" width="15.5703125" style="2" customWidth="1"/>
    <col min="7" max="7" width="15.5703125" customWidth="1"/>
  </cols>
  <sheetData>
    <row r="1" spans="1:7" x14ac:dyDescent="0.2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5703125" customWidth="1"/>
    <col min="2" max="2" width="28.5703125" customWidth="1"/>
    <col min="3" max="3" width="18.5703125" customWidth="1"/>
    <col min="4" max="4" width="12.570312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5703125" customWidth="1"/>
    <col min="2" max="2" width="35.570312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</vt:lpstr>
      <vt:lpstr>Dashboard_V2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2026-09-21T12:32:03Z</dcterms:modified>
</cp:coreProperties>
</file>