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FF0F428D-0CAF-49F7-8CC4-E522EAC5B25A}" xr6:coauthVersionLast="47" xr6:coauthVersionMax="47" xr10:uidLastSave="{00000000-0000-0000-0000-000000000000}"/>
  <bookViews>
    <workbookView xWindow="-120" yWindow="-120" windowWidth="20730" windowHeight="11040" activeTab="1" xr2:uid="{F91511D9-C0CF-4C6D-8103-54094EAD38F7}"/>
  </bookViews>
  <sheets>
    <sheet name="Dashboard" sheetId="2" r:id="rId1"/>
    <sheet name="Dashboard_V2" sheetId="9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75" i="9" l="1"/>
  <c r="L71" i="9"/>
  <c r="H71" i="9"/>
  <c r="D71" i="9"/>
  <c r="M6" i="9"/>
  <c r="J6" i="9"/>
  <c r="G6" i="9"/>
  <c r="D6" i="9"/>
  <c r="B15" i="2"/>
  <c r="B13" i="2"/>
  <c r="B12" i="2"/>
  <c r="J5" i="2"/>
  <c r="D5" i="2"/>
  <c r="A5" i="2"/>
  <c r="B14" i="2" l="1"/>
  <c r="G5" i="2"/>
</calcChain>
</file>

<file path=xl/sharedStrings.xml><?xml version="1.0" encoding="utf-8"?>
<sst xmlns="http://schemas.openxmlformats.org/spreadsheetml/2006/main" count="288" uniqueCount="142">
  <si>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</si>
  <si>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</si>
  <si>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</si>
  <si>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</si>
  <si>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</si>
  <si>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</si>
  <si>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</si>
  <si>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</si>
  <si>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</si>
  <si>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</si>
  <si>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</si>
  <si>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</si>
  <si>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</si>
  <si>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</si>
  <si>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</si>
  <si>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</si>
  <si>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</si>
  <si>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</si>
  <si>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</si>
  <si>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</si>
  <si>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</si>
  <si>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</si>
  <si>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</si>
  <si>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</si>
  <si>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</si>
  <si>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</si>
  <si>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</si>
  <si>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</si>
  <si>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</si>
  <si>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</si>
  <si>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</si>
  <si>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</si>
  <si>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</si>
  <si>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</si>
  <si>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</si>
  <si>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</si>
  <si>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</si>
  <si>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</si>
  <si>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</si>
  <si>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</si>
  <si>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</si>
  <si>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</si>
  <si>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</si>
  <si>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</si>
  <si>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</si>
  <si>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</si>
  <si>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</si>
  <si>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</si>
  <si>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</si>
  <si>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</si>
  <si>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</si>
  <si>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</si>
  <si>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</si>
  <si>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</si>
  <si>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</si>
  <si>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</si>
  <si>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</si>
  <si>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</si>
  <si>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</si>
  <si>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</si>
  <si>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</si>
  <si>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</si>
  <si>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</si>
  <si>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</si>
  <si>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</si>
  <si>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</si>
  <si>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</si>
  <si>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</si>
  <si>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</si>
  <si>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</si>
  <si>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</si>
  <si>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</si>
  <si>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</si>
  <si>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</si>
  <si>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</si>
  <si>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</si>
  <si>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</si>
  <si>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</si>
  <si>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</si>
  <si>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</si>
  <si>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</si>
  <si>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</si>
  <si>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</si>
  <si>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</si>
  <si>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</si>
  <si>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</si>
  <si>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</si>
  <si>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</si>
  <si>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</si>
  <si>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</si>
  <si>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</si>
  <si>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</si>
  <si>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</si>
  <si>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</si>
  <si>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</si>
  <si>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</si>
  <si>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</si>
  <si>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</si>
  <si>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</si>
  <si>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RECEITAS x DESPESAS</t>
  </si>
  <si>
    <t>ÁREA DO PERSONAGEM</t>
  </si>
  <si>
    <t>Supermercado</t>
  </si>
  <si>
    <t>Teste Dashabord</t>
  </si>
  <si>
    <t>Conta de luz</t>
  </si>
  <si>
    <t>Combustivel</t>
  </si>
  <si>
    <t>Economia Mensal</t>
  </si>
  <si>
    <t>39/09/2026</t>
  </si>
  <si>
    <t>Em andamento</t>
  </si>
  <si>
    <t>META FINANCEIRA</t>
  </si>
  <si>
    <t>Objetivo</t>
  </si>
  <si>
    <t>Atual</t>
  </si>
  <si>
    <t>Progresso</t>
  </si>
  <si>
    <t>Prazo</t>
  </si>
  <si>
    <t>-</t>
  </si>
  <si>
    <t>25% concluído</t>
  </si>
  <si>
    <t>DESPESAS / RECEITAS</t>
  </si>
  <si>
    <t>SALDO ATUAL</t>
  </si>
  <si>
    <t>EVOLUÇÃO DO SALDO</t>
  </si>
  <si>
    <t>Salario teste</t>
  </si>
  <si>
    <t>SITUAÇÃO FINANCEIRA</t>
  </si>
  <si>
    <t>SMART FINANCIAL_x000D_
Controle financeiro inteligente</t>
  </si>
  <si>
    <t>SMART_x000D_
FINANCIAL</t>
  </si>
  <si>
    <t>Controle_x000D_
Planejamento_x000D_
Resultados</t>
  </si>
  <si>
    <t>ÍNDICE FINANCEIRO</t>
  </si>
  <si>
    <t>STATUS</t>
  </si>
  <si>
    <t>Índice baseado na relação entre receitas, despesas e saldo.</t>
  </si>
  <si>
    <t>BOA</t>
  </si>
  <si>
    <t>Sua situação financeira está boa._x000D_
Há espaço para melhorar ainda mais.</t>
  </si>
  <si>
    <t>INSIGHTS FINANCEIROS</t>
  </si>
  <si>
    <t>ACOMPANHAMENTO DA META</t>
  </si>
  <si>
    <t>ÚLTIMOS LANÇAMENTOS</t>
  </si>
  <si>
    <t>DICA FINANCEIRA DO DIA</t>
  </si>
  <si>
    <t>DICA</t>
  </si>
  <si>
    <t>MANTENHA O CONTROLE</t>
  </si>
  <si>
    <t>Seu orçamento está positivo, mas boa parte da receita já está comprometida com despesas.</t>
  </si>
  <si>
    <t>Continue acompanhando seus gastos para preservar espaço para suas metas financeiras.</t>
  </si>
  <si>
    <t>"Disciplina financeira_x000D_
transforma planos em realidade."</t>
  </si>
  <si>
    <t>PAINEL FINANCEIRO_x000D_
terça-feira, 22/09/2026</t>
  </si>
  <si>
    <t>Dashboard</t>
  </si>
  <si>
    <t>Metas</t>
  </si>
  <si>
    <t>Relatórios</t>
  </si>
  <si>
    <t>Configurações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</si>
</sst>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"/>
    <numFmt numFmtId="165" formatCode="0.0%"/>
    <numFmt numFmtId="167" formatCode="mmm/yyyy"/>
    <numFmt numFmtId="168" formatCode="&quot;R$&quot;\ #,##0.00;[Red]\-&quot;R$&quot;\ #,##0.00"/>
    <numFmt numFmtId="169" formatCode="dd/mm/yyyy"/>
    <numFmt numFmtId="170" formatCode="&quot;R$&quot;\ #,##0.00"/>
    <numFmt numFmtId="171" formatCode="&quot;R$ &quot;#,##0.00"/>
  </numFmts>
  <fonts count="70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b/>
      <sz val="24"/>
      <color rgb="FFFFFFFF"/>
      <name val="Aptos Display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sz val="10"/>
      <color rgb="FFFFFFFF"/>
      <name val="Aptos"/>
      <family val="2"/>
    </font>
    <font>
      <b/>
      <sz val="18"/>
      <color rgb="FF27AE60"/>
      <name val="Aptos Display"/>
      <family val="2"/>
    </font>
    <font>
      <b/>
      <sz val="18"/>
      <color rgb="FFE74C3C"/>
      <name val="Aptos Display"/>
      <family val="2"/>
    </font>
    <font>
      <b/>
      <sz val="10"/>
      <color rgb="FF27AE60"/>
      <name val="Aptos"/>
      <family val="2"/>
    </font>
    <font>
      <b/>
      <sz val="10"/>
      <color rgb="FF232D3C"/>
      <name val="Aptos"/>
      <family val="2"/>
    </font>
    <font>
      <i/>
      <sz val="10"/>
      <color rgb="FF232D3C"/>
      <name val="Aptos"/>
      <family val="2"/>
    </font>
    <font>
      <b/>
      <sz val="20"/>
      <color rgb="FFFFFFFF"/>
      <name val="Aptos Display"/>
      <family val="2"/>
    </font>
    <font>
      <b/>
      <sz val="14"/>
      <color rgb="FFFFFFFF"/>
      <name val="Aptos Display"/>
      <family val="2"/>
    </font>
    <font>
      <sz val="10"/>
      <color rgb="FFEBF0F5"/>
      <name val="Aptos"/>
      <family val="2"/>
    </font>
    <font>
      <i/>
      <sz val="9"/>
      <color rgb="FFBECDDC"/>
      <name val="Aptos"/>
      <family val="2"/>
    </font>
    <font>
      <b/>
      <sz val="18"/>
      <color rgb="FF1976D2"/>
      <name val="Aptos Display"/>
      <family val="2"/>
    </font>
    <font>
      <b/>
      <sz val="18"/>
      <color rgb="FF5A646E"/>
      <name val="Aptos Display"/>
      <family val="2"/>
    </font>
    <font>
      <b/>
      <sz val="13"/>
      <color rgb="FF1F344B"/>
      <name val="Aptos Display"/>
      <family val="2"/>
    </font>
    <font>
      <b/>
      <sz val="12"/>
      <color rgb="FF1F344B"/>
      <name val="Aptos Display"/>
      <family val="2"/>
    </font>
    <font>
      <sz val="8"/>
      <color rgb="FF78828C"/>
      <name val="Aptos"/>
      <family val="2"/>
    </font>
    <font>
      <b/>
      <sz val="10"/>
      <color rgb="FF1976D2"/>
      <name val="Aptos"/>
      <family val="2"/>
    </font>
    <font>
      <b/>
      <sz val="10"/>
      <color rgb="FF1F344B"/>
      <name val="Aptos"/>
      <family val="2"/>
    </font>
    <font>
      <b/>
      <sz val="11"/>
      <color rgb="FF1976D2"/>
      <name val="Aptos"/>
      <family val="2"/>
    </font>
    <font>
      <b/>
      <sz val="9"/>
      <color rgb="FF232D3C"/>
      <name val="Aptos"/>
      <family val="2"/>
    </font>
    <font>
      <b/>
      <sz val="9"/>
      <color rgb="FFFFFFFF"/>
      <name val="Aptos"/>
      <family val="2"/>
    </font>
    <font>
      <b/>
      <sz val="8"/>
      <color rgb="FF6E7882"/>
      <name val="Aptos"/>
      <family val="2"/>
    </font>
    <font>
      <b/>
      <sz val="15"/>
      <color rgb="FF27AE60"/>
      <name val="Aptos Display"/>
      <family val="2"/>
    </font>
    <font>
      <i/>
      <sz val="9"/>
      <color rgb="FF505A64"/>
      <name val="Aptos"/>
      <family val="2"/>
    </font>
    <font>
      <sz val="7"/>
      <color rgb="FF91969B"/>
      <name val="Aptos"/>
      <family val="2"/>
    </font>
    <font>
      <b/>
      <sz val="25"/>
      <color rgb="FF3498DB"/>
      <name val="Aptos Display"/>
      <family val="2"/>
    </font>
    <font>
      <b/>
      <sz val="15"/>
      <color rgb="FF3498DB"/>
      <name val="Aptos Display"/>
      <family val="2"/>
    </font>
    <font>
      <b/>
      <sz val="20"/>
      <color rgb="FFF1C40F"/>
      <name val="Aptos Display"/>
      <family val="2"/>
    </font>
    <font>
      <b/>
      <sz val="12"/>
      <color rgb="FFFFFFFF"/>
      <name val="Aptos Display"/>
      <family val="2"/>
    </font>
    <font>
      <b/>
      <sz val="10"/>
      <color rgb="FF154E6B"/>
      <name val="Aptos"/>
      <family val="2"/>
    </font>
    <font>
      <b/>
      <sz val="11"/>
      <color rgb="FF154E6B"/>
      <name val="Aptos"/>
      <family val="2"/>
    </font>
    <font>
      <b/>
      <sz val="15"/>
      <color rgb="FF154E6B"/>
      <name val="Aptos Display"/>
      <family val="2"/>
    </font>
    <font>
      <b/>
      <sz val="9"/>
      <color rgb="FF154E6B"/>
      <name val="Aptos"/>
      <family val="2"/>
    </font>
    <font>
      <sz val="9"/>
      <color rgb="FF232D3C"/>
      <name val="Aptos"/>
      <family val="2"/>
    </font>
    <font>
      <b/>
      <sz val="9"/>
      <color rgb="FFDC3545"/>
      <name val="Aptos"/>
      <family val="2"/>
    </font>
    <font>
      <sz val="9"/>
      <color rgb="FF154E6B"/>
      <name val="Aptos"/>
      <family val="2"/>
    </font>
    <font>
      <b/>
      <sz val="9"/>
      <color rgb="FF198754"/>
      <name val="Aptos"/>
      <family val="2"/>
    </font>
    <font>
      <b/>
      <sz val="11"/>
      <color rgb="FF154E6B"/>
      <name val="Aptos Display"/>
      <family val="2"/>
    </font>
    <font>
      <sz val="9"/>
      <color rgb="FF5A646E"/>
      <name val="Aptos"/>
      <family val="2"/>
    </font>
    <font>
      <i/>
      <sz val="10"/>
      <color rgb="FFE1EBF5"/>
      <name val="Aptos"/>
      <family val="2"/>
    </font>
    <font>
      <b/>
      <sz val="9"/>
      <color rgb="FFE1EBF5"/>
      <name val="Aptos"/>
      <family val="2"/>
    </font>
  </fonts>
  <fills count="28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5A646E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F2F5F7"/>
        <bgColor indexed="64"/>
      </patternFill>
    </fill>
    <fill>
      <patternFill patternType="solid">
        <fgColor rgb="FFF8FAFB"/>
        <bgColor indexed="64"/>
      </patternFill>
    </fill>
    <fill>
      <patternFill patternType="solid">
        <fgColor rgb="FFE8EDF2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FFFAE6"/>
        <bgColor indexed="64"/>
      </patternFill>
    </fill>
    <fill>
      <patternFill patternType="solid">
        <fgColor rgb="FFFFFCF0"/>
        <bgColor indexed="64"/>
      </patternFill>
    </fill>
    <fill>
      <patternFill patternType="solid">
        <fgColor rgb="FF15273A"/>
        <bgColor indexed="64"/>
      </patternFill>
    </fill>
    <fill>
      <patternFill patternType="solid">
        <fgColor rgb="FFE8F9EE"/>
        <bgColor indexed="64"/>
      </patternFill>
    </fill>
    <fill>
      <patternFill patternType="solid">
        <fgColor rgb="FFFDEBE9"/>
        <bgColor indexed="64"/>
      </patternFill>
    </fill>
    <fill>
      <patternFill patternType="solid">
        <fgColor rgb="FFE8F1FD"/>
        <bgColor indexed="64"/>
      </patternFill>
    </fill>
    <fill>
      <patternFill patternType="solid">
        <fgColor rgb="FFF0F2F4"/>
        <bgColor indexed="64"/>
      </patternFill>
    </fill>
  </fills>
  <borders count="51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 style="thin">
        <color rgb="FFE1E6EC"/>
      </bottom>
      <diagonal/>
    </border>
    <border>
      <left/>
      <right/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DCE1E6"/>
      </left>
      <right style="thin">
        <color rgb="FFDCE1E6"/>
      </right>
      <top/>
      <bottom style="thin">
        <color rgb="FFDCE1E6"/>
      </bottom>
      <diagonal/>
    </border>
    <border>
      <left/>
      <right style="thin">
        <color rgb="FFE1E6EC"/>
      </right>
      <top/>
      <bottom/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E1E6EC"/>
      </left>
      <right style="thin">
        <color rgb="FFE1E6EC"/>
      </right>
      <top/>
      <bottom style="thin">
        <color rgb="FFE1E6EC"/>
      </bottom>
      <diagonal/>
    </border>
    <border>
      <left style="thin">
        <color rgb="FFE1E6EB"/>
      </left>
      <right style="thin">
        <color rgb="FFE1E6EB"/>
      </right>
      <top style="thin">
        <color rgb="FFE1E6EB"/>
      </top>
      <bottom style="thin">
        <color rgb="FFE1E6EB"/>
      </bottom>
      <diagonal/>
    </border>
    <border>
      <left style="thin">
        <color rgb="FFDCE1E6"/>
      </left>
      <right/>
      <top style="thin">
        <color rgb="FFE1E6EB"/>
      </top>
      <bottom style="thin">
        <color rgb="FFE1E6EB"/>
      </bottom>
      <diagonal/>
    </border>
    <border>
      <left/>
      <right/>
      <top style="thin">
        <color rgb="FFE1E6EB"/>
      </top>
      <bottom style="thin">
        <color rgb="FFE1E6EB"/>
      </bottom>
      <diagonal/>
    </border>
    <border>
      <left/>
      <right style="thin">
        <color rgb="FFE1E6EB"/>
      </right>
      <top style="thin">
        <color rgb="FFE1E6EB"/>
      </top>
      <bottom style="thin">
        <color rgb="FFE1E6EB"/>
      </bottom>
      <diagonal/>
    </border>
    <border>
      <left style="thin">
        <color rgb="FFE1E6EB"/>
      </left>
      <right/>
      <top style="thin">
        <color rgb="FFE1E6EB"/>
      </top>
      <bottom style="thin">
        <color rgb="FFE1E6EB"/>
      </bottom>
      <diagonal/>
    </border>
    <border>
      <left style="thin">
        <color rgb="FFE1E6EB"/>
      </left>
      <right style="thin">
        <color rgb="FFE1E6EB"/>
      </right>
      <top/>
      <bottom style="thin">
        <color rgb="FFE1E6EB"/>
      </bottom>
      <diagonal/>
    </border>
    <border>
      <left style="thin">
        <color rgb="FFE1E6EB"/>
      </left>
      <right/>
      <top style="thin">
        <color rgb="FFE1E6EB"/>
      </top>
      <bottom/>
      <diagonal/>
    </border>
    <border>
      <left/>
      <right/>
      <top style="thin">
        <color rgb="FFE1E6EB"/>
      </top>
      <bottom/>
      <diagonal/>
    </border>
    <border>
      <left/>
      <right style="thin">
        <color rgb="FFE1E6EB"/>
      </right>
      <top style="thin">
        <color rgb="FFE1E6EB"/>
      </top>
      <bottom/>
      <diagonal/>
    </border>
    <border>
      <left style="thin">
        <color rgb="FFE1E6EB"/>
      </left>
      <right/>
      <top/>
      <bottom/>
      <diagonal/>
    </border>
    <border>
      <left/>
      <right style="thin">
        <color rgb="FFE1E6EB"/>
      </right>
      <top/>
      <bottom/>
      <diagonal/>
    </border>
    <border>
      <left style="thin">
        <color rgb="FFE1E6EB"/>
      </left>
      <right/>
      <top/>
      <bottom style="thin">
        <color rgb="FFE1E6EB"/>
      </bottom>
      <diagonal/>
    </border>
    <border>
      <left/>
      <right/>
      <top/>
      <bottom style="thin">
        <color rgb="FFE1E6EB"/>
      </bottom>
      <diagonal/>
    </border>
    <border>
      <left/>
      <right style="thin">
        <color rgb="FFE1E6EB"/>
      </right>
      <top/>
      <bottom style="thin">
        <color rgb="FFE1E6EB"/>
      </bottom>
      <diagonal/>
    </border>
    <border>
      <left style="thin">
        <color rgb="FFE1E6EB"/>
      </left>
      <right/>
      <top style="thin">
        <color rgb="FFE1E6EB"/>
      </top>
      <bottom style="medium">
        <color rgb="FF3498DB"/>
      </bottom>
      <diagonal/>
    </border>
    <border>
      <left/>
      <right/>
      <top style="thin">
        <color rgb="FFE1E6EB"/>
      </top>
      <bottom style="medium">
        <color rgb="FF3498DB"/>
      </bottom>
      <diagonal/>
    </border>
    <border>
      <left/>
      <right style="thin">
        <color rgb="FFE1E6EB"/>
      </right>
      <top style="thin">
        <color rgb="FFE1E6EB"/>
      </top>
      <bottom style="medium">
        <color rgb="FF3498DB"/>
      </bottom>
      <diagonal/>
    </border>
    <border>
      <left style="thin">
        <color rgb="FFE6DCB4"/>
      </left>
      <right style="thin">
        <color rgb="FFE6DCB4"/>
      </right>
      <top style="thin">
        <color rgb="FFE6DCB4"/>
      </top>
      <bottom style="thin">
        <color rgb="FFE6DCB4"/>
      </bottom>
      <diagonal/>
    </border>
    <border>
      <left/>
      <right/>
      <top/>
      <bottom style="medium">
        <color rgb="FF27AE60"/>
      </bottom>
      <diagonal/>
    </border>
    <border>
      <left/>
      <right/>
      <top style="thin">
        <color rgb="FF2D4155"/>
      </top>
      <bottom/>
      <diagonal/>
    </border>
    <border>
      <left/>
      <right style="thin">
        <color rgb="FFD7DCE1"/>
      </right>
      <top/>
      <bottom/>
      <diagonal/>
    </border>
    <border>
      <left style="thin">
        <color rgb="FFD7DCE1"/>
      </left>
      <right style="thin">
        <color rgb="FFD7DCE1"/>
      </right>
      <top/>
      <bottom style="thin">
        <color rgb="FFD7DCE1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27AE60"/>
      </bottom>
      <diagonal/>
    </border>
    <border>
      <left style="thin">
        <color rgb="FFD7DCE1"/>
      </left>
      <right/>
      <top style="thin">
        <color rgb="FFD7DCE1"/>
      </top>
      <bottom style="thin">
        <color rgb="FF27AE60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E74C3C"/>
      </bottom>
      <diagonal/>
    </border>
    <border>
      <left style="thin">
        <color rgb="FFD7DCE1"/>
      </left>
      <right/>
      <top style="thin">
        <color rgb="FFD7DCE1"/>
      </top>
      <bottom style="thin">
        <color rgb="FFE74C3C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1976D2"/>
      </bottom>
      <diagonal/>
    </border>
    <border>
      <left style="thin">
        <color rgb="FFD7DCE1"/>
      </left>
      <right/>
      <top style="thin">
        <color rgb="FFD7DCE1"/>
      </top>
      <bottom style="thin">
        <color rgb="FF1976D2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5A646E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9" fillId="7" borderId="13" xfId="0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164" fontId="25" fillId="2" borderId="1" xfId="0" applyNumberFormat="1" applyFont="1" applyFill="1" applyBorder="1" applyAlignment="1">
      <alignment horizontal="right"/>
    </xf>
    <xf numFmtId="164" fontId="26" fillId="2" borderId="1" xfId="0" applyNumberFormat="1" applyFont="1" applyFill="1" applyBorder="1" applyAlignment="1">
      <alignment horizontal="right"/>
    </xf>
    <xf numFmtId="164" fontId="27" fillId="2" borderId="1" xfId="0" applyNumberFormat="1" applyFont="1" applyFill="1" applyBorder="1" applyAlignment="1">
      <alignment horizontal="right"/>
    </xf>
    <xf numFmtId="3" fontId="24" fillId="2" borderId="1" xfId="0" applyNumberFormat="1" applyFont="1" applyFill="1" applyBorder="1" applyAlignment="1">
      <alignment horizontal="right"/>
    </xf>
    <xf numFmtId="0" fontId="28" fillId="2" borderId="0" xfId="0" applyFont="1" applyFill="1"/>
    <xf numFmtId="0" fontId="29" fillId="6" borderId="0" xfId="0" applyFont="1" applyFill="1"/>
    <xf numFmtId="0" fontId="29" fillId="6" borderId="1" xfId="0" applyFont="1" applyFill="1" applyBorder="1"/>
    <xf numFmtId="167" fontId="29" fillId="6" borderId="0" xfId="0" applyNumberFormat="1" applyFont="1" applyFill="1"/>
    <xf numFmtId="0" fontId="34" fillId="6" borderId="14" xfId="0" applyFont="1" applyFill="1" applyBorder="1" applyAlignment="1">
      <alignment horizontal="left" vertical="top"/>
    </xf>
    <xf numFmtId="0" fontId="34" fillId="6" borderId="15" xfId="0" applyFont="1" applyFill="1" applyBorder="1" applyAlignment="1">
      <alignment horizontal="left" vertical="center"/>
    </xf>
    <xf numFmtId="0" fontId="34" fillId="6" borderId="16" xfId="0" applyFont="1" applyFill="1" applyBorder="1" applyAlignment="1">
      <alignment horizontal="left" vertical="center"/>
    </xf>
    <xf numFmtId="0" fontId="34" fillId="6" borderId="14" xfId="0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/>
    </xf>
    <xf numFmtId="0" fontId="34" fillId="6" borderId="17" xfId="0" applyFont="1" applyFill="1" applyBorder="1" applyAlignment="1">
      <alignment horizontal="left" vertical="center"/>
    </xf>
    <xf numFmtId="0" fontId="34" fillId="6" borderId="1" xfId="0" applyFont="1" applyFill="1" applyBorder="1" applyAlignment="1">
      <alignment horizontal="left" vertical="center"/>
    </xf>
    <xf numFmtId="0" fontId="34" fillId="6" borderId="21" xfId="0" applyFont="1" applyFill="1" applyBorder="1" applyAlignment="1">
      <alignment horizontal="center" vertical="center" wrapText="1"/>
    </xf>
    <xf numFmtId="0" fontId="29" fillId="6" borderId="18" xfId="0" applyFont="1" applyFill="1" applyBorder="1" applyAlignment="1">
      <alignment horizontal="center" vertical="center"/>
    </xf>
    <xf numFmtId="0" fontId="34" fillId="6" borderId="18" xfId="0" applyFont="1" applyFill="1" applyBorder="1" applyAlignment="1">
      <alignment horizontal="center" vertical="center"/>
    </xf>
    <xf numFmtId="0" fontId="29" fillId="3" borderId="22" xfId="0" applyFont="1" applyFill="1" applyBorder="1"/>
    <xf numFmtId="0" fontId="29" fillId="3" borderId="27" xfId="0" applyFont="1" applyFill="1" applyBorder="1"/>
    <xf numFmtId="0" fontId="53" fillId="3" borderId="26" xfId="0" applyFont="1" applyFill="1" applyBorder="1" applyAlignment="1">
      <alignment horizontal="left" vertical="center"/>
    </xf>
    <xf numFmtId="0" fontId="53" fillId="3" borderId="24" xfId="0" applyFont="1" applyFill="1" applyBorder="1" applyAlignment="1">
      <alignment horizontal="left" vertical="center"/>
    </xf>
    <xf numFmtId="0" fontId="53" fillId="3" borderId="25" xfId="0" applyFont="1" applyFill="1" applyBorder="1" applyAlignment="1">
      <alignment horizontal="left" vertical="center"/>
    </xf>
    <xf numFmtId="0" fontId="44" fillId="3" borderId="23" xfId="0" applyFont="1" applyFill="1" applyBorder="1" applyAlignment="1">
      <alignment horizontal="left" vertical="center"/>
    </xf>
    <xf numFmtId="0" fontId="44" fillId="3" borderId="24" xfId="0" applyFont="1" applyFill="1" applyBorder="1" applyAlignment="1">
      <alignment horizontal="left" vertical="center"/>
    </xf>
    <xf numFmtId="0" fontId="44" fillId="3" borderId="25" xfId="0" applyFont="1" applyFill="1" applyBorder="1" applyAlignment="1">
      <alignment horizontal="left" vertical="center"/>
    </xf>
    <xf numFmtId="9" fontId="47" fillId="3" borderId="26" xfId="0" applyNumberFormat="1" applyFont="1" applyFill="1" applyBorder="1" applyAlignment="1">
      <alignment horizontal="right" vertical="center"/>
    </xf>
    <xf numFmtId="9" fontId="47" fillId="3" borderId="24" xfId="0" applyNumberFormat="1" applyFont="1" applyFill="1" applyBorder="1" applyAlignment="1">
      <alignment horizontal="right" vertical="center"/>
    </xf>
    <xf numFmtId="9" fontId="47" fillId="3" borderId="25" xfId="0" applyNumberFormat="1" applyFont="1" applyFill="1" applyBorder="1" applyAlignment="1">
      <alignment horizontal="right" vertical="center"/>
    </xf>
    <xf numFmtId="0" fontId="48" fillId="3" borderId="26" xfId="0" applyFont="1" applyFill="1" applyBorder="1" applyAlignment="1">
      <alignment horizontal="right" vertical="center"/>
    </xf>
    <xf numFmtId="0" fontId="48" fillId="3" borderId="24" xfId="0" applyFont="1" applyFill="1" applyBorder="1" applyAlignment="1">
      <alignment horizontal="right" vertical="center"/>
    </xf>
    <xf numFmtId="0" fontId="48" fillId="3" borderId="25" xfId="0" applyFont="1" applyFill="1" applyBorder="1" applyAlignment="1">
      <alignment horizontal="right" vertical="center"/>
    </xf>
    <xf numFmtId="0" fontId="42" fillId="3" borderId="36" xfId="0" applyFont="1" applyFill="1" applyBorder="1" applyAlignment="1">
      <alignment horizontal="left" vertical="center"/>
    </xf>
    <xf numFmtId="0" fontId="42" fillId="3" borderId="37" xfId="0" applyFont="1" applyFill="1" applyBorder="1" applyAlignment="1">
      <alignment horizontal="left" vertical="center"/>
    </xf>
    <xf numFmtId="0" fontId="42" fillId="3" borderId="38" xfId="0" applyFont="1" applyFill="1" applyBorder="1" applyAlignment="1">
      <alignment horizontal="left" vertical="center"/>
    </xf>
    <xf numFmtId="0" fontId="50" fillId="3" borderId="26" xfId="0" applyFont="1" applyFill="1" applyBorder="1" applyAlignment="1">
      <alignment horizontal="center" vertical="center"/>
    </xf>
    <xf numFmtId="0" fontId="50" fillId="3" borderId="24" xfId="0" applyFont="1" applyFill="1" applyBorder="1" applyAlignment="1">
      <alignment horizontal="center" vertical="center"/>
    </xf>
    <xf numFmtId="0" fontId="50" fillId="3" borderId="25" xfId="0" applyFont="1" applyFill="1" applyBorder="1" applyAlignment="1">
      <alignment horizontal="center" vertical="center"/>
    </xf>
    <xf numFmtId="0" fontId="54" fillId="2" borderId="28" xfId="0" applyFont="1" applyFill="1" applyBorder="1" applyAlignment="1">
      <alignment horizontal="center" vertical="center"/>
    </xf>
    <xf numFmtId="0" fontId="54" fillId="2" borderId="29" xfId="0" applyFont="1" applyFill="1" applyBorder="1" applyAlignment="1">
      <alignment horizontal="center" vertical="center"/>
    </xf>
    <xf numFmtId="0" fontId="54" fillId="2" borderId="30" xfId="0" applyFont="1" applyFill="1" applyBorder="1" applyAlignment="1">
      <alignment horizontal="center" vertical="center"/>
    </xf>
    <xf numFmtId="0" fontId="54" fillId="2" borderId="31" xfId="0" applyFont="1" applyFill="1" applyBorder="1" applyAlignment="1">
      <alignment horizontal="center" vertical="center"/>
    </xf>
    <xf numFmtId="0" fontId="54" fillId="2" borderId="32" xfId="0" applyFont="1" applyFill="1" applyBorder="1" applyAlignment="1">
      <alignment horizontal="center" vertical="center"/>
    </xf>
    <xf numFmtId="0" fontId="54" fillId="2" borderId="33" xfId="0" applyFont="1" applyFill="1" applyBorder="1" applyAlignment="1">
      <alignment horizontal="center" vertical="center"/>
    </xf>
    <xf numFmtId="0" fontId="54" fillId="2" borderId="34" xfId="0" applyFont="1" applyFill="1" applyBorder="1" applyAlignment="1">
      <alignment horizontal="center" vertical="center"/>
    </xf>
    <xf numFmtId="0" fontId="54" fillId="2" borderId="35" xfId="0" applyFont="1" applyFill="1" applyBorder="1" applyAlignment="1">
      <alignment horizontal="center" vertical="center"/>
    </xf>
    <xf numFmtId="0" fontId="55" fillId="2" borderId="28" xfId="0" applyFont="1" applyFill="1" applyBorder="1" applyAlignment="1">
      <alignment horizontal="center" vertical="center"/>
    </xf>
    <xf numFmtId="0" fontId="55" fillId="2" borderId="29" xfId="0" applyFont="1" applyFill="1" applyBorder="1" applyAlignment="1">
      <alignment horizontal="center" vertical="center"/>
    </xf>
    <xf numFmtId="0" fontId="55" fillId="2" borderId="30" xfId="0" applyFont="1" applyFill="1" applyBorder="1" applyAlignment="1">
      <alignment horizontal="center" vertical="center"/>
    </xf>
    <xf numFmtId="0" fontId="55" fillId="2" borderId="31" xfId="0" applyFont="1" applyFill="1" applyBorder="1" applyAlignment="1">
      <alignment horizontal="center" vertical="center"/>
    </xf>
    <xf numFmtId="0" fontId="55" fillId="2" borderId="32" xfId="0" applyFont="1" applyFill="1" applyBorder="1" applyAlignment="1">
      <alignment horizontal="center" vertical="center"/>
    </xf>
    <xf numFmtId="0" fontId="55" fillId="2" borderId="33" xfId="0" applyFont="1" applyFill="1" applyBorder="1" applyAlignment="1">
      <alignment horizontal="center" vertical="center"/>
    </xf>
    <xf numFmtId="0" fontId="55" fillId="2" borderId="34" xfId="0" applyFont="1" applyFill="1" applyBorder="1" applyAlignment="1">
      <alignment horizontal="center" vertical="center"/>
    </xf>
    <xf numFmtId="0" fontId="55" fillId="2" borderId="35" xfId="0" applyFont="1" applyFill="1" applyBorder="1" applyAlignment="1">
      <alignment horizontal="center" vertical="center"/>
    </xf>
    <xf numFmtId="9" fontId="56" fillId="2" borderId="28" xfId="0" applyNumberFormat="1" applyFont="1" applyFill="1" applyBorder="1" applyAlignment="1">
      <alignment horizontal="center" vertical="center"/>
    </xf>
    <xf numFmtId="9" fontId="56" fillId="2" borderId="29" xfId="0" applyNumberFormat="1" applyFont="1" applyFill="1" applyBorder="1" applyAlignment="1">
      <alignment horizontal="center" vertical="center"/>
    </xf>
    <xf numFmtId="9" fontId="56" fillId="2" borderId="30" xfId="0" applyNumberFormat="1" applyFont="1" applyFill="1" applyBorder="1" applyAlignment="1">
      <alignment horizontal="center" vertical="center"/>
    </xf>
    <xf numFmtId="9" fontId="56" fillId="2" borderId="31" xfId="0" applyNumberFormat="1" applyFont="1" applyFill="1" applyBorder="1" applyAlignment="1">
      <alignment horizontal="center" vertical="center"/>
    </xf>
    <xf numFmtId="9" fontId="56" fillId="2" borderId="32" xfId="0" applyNumberFormat="1" applyFont="1" applyFill="1" applyBorder="1" applyAlignment="1">
      <alignment horizontal="center" vertical="center"/>
    </xf>
    <xf numFmtId="9" fontId="56" fillId="2" borderId="33" xfId="0" applyNumberFormat="1" applyFont="1" applyFill="1" applyBorder="1" applyAlignment="1">
      <alignment horizontal="center" vertical="center"/>
    </xf>
    <xf numFmtId="9" fontId="56" fillId="2" borderId="34" xfId="0" applyNumberFormat="1" applyFont="1" applyFill="1" applyBorder="1" applyAlignment="1">
      <alignment horizontal="center" vertical="center"/>
    </xf>
    <xf numFmtId="9" fontId="56" fillId="2" borderId="35" xfId="0" applyNumberFormat="1" applyFont="1" applyFill="1" applyBorder="1" applyAlignment="1">
      <alignment horizontal="center" vertical="center"/>
    </xf>
    <xf numFmtId="0" fontId="52" fillId="3" borderId="28" xfId="0" applyFont="1" applyFill="1" applyBorder="1" applyAlignment="1">
      <alignment horizontal="center" vertical="center" wrapText="1"/>
    </xf>
    <xf numFmtId="0" fontId="52" fillId="3" borderId="29" xfId="0" applyFont="1" applyFill="1" applyBorder="1" applyAlignment="1">
      <alignment horizontal="center" vertical="center" wrapText="1"/>
    </xf>
    <xf numFmtId="0" fontId="52" fillId="3" borderId="30" xfId="0" applyFont="1" applyFill="1" applyBorder="1" applyAlignment="1">
      <alignment horizontal="center" vertical="center" wrapText="1"/>
    </xf>
    <xf numFmtId="0" fontId="52" fillId="3" borderId="31" xfId="0" applyFont="1" applyFill="1" applyBorder="1" applyAlignment="1">
      <alignment horizontal="center" vertical="center" wrapText="1"/>
    </xf>
    <xf numFmtId="0" fontId="52" fillId="3" borderId="32" xfId="0" applyFont="1" applyFill="1" applyBorder="1" applyAlignment="1">
      <alignment horizontal="center" vertical="center" wrapText="1"/>
    </xf>
    <xf numFmtId="0" fontId="52" fillId="3" borderId="33" xfId="0" applyFont="1" applyFill="1" applyBorder="1" applyAlignment="1">
      <alignment horizontal="center" vertical="center" wrapText="1"/>
    </xf>
    <xf numFmtId="0" fontId="52" fillId="3" borderId="34" xfId="0" applyFont="1" applyFill="1" applyBorder="1" applyAlignment="1">
      <alignment horizontal="center" vertical="center" wrapText="1"/>
    </xf>
    <xf numFmtId="0" fontId="52" fillId="3" borderId="35" xfId="0" applyFont="1" applyFill="1" applyBorder="1" applyAlignment="1">
      <alignment horizontal="center" vertical="center" wrapText="1"/>
    </xf>
    <xf numFmtId="0" fontId="3" fillId="12" borderId="0" xfId="0" applyFont="1" applyFill="1" applyAlignment="1">
      <alignment horizontal="left" vertical="center" indent="1"/>
    </xf>
    <xf numFmtId="0" fontId="42" fillId="3" borderId="23" xfId="0" applyFont="1" applyFill="1" applyBorder="1" applyAlignment="1">
      <alignment horizontal="left" vertical="center"/>
    </xf>
    <xf numFmtId="0" fontId="42" fillId="3" borderId="24" xfId="0" applyFont="1" applyFill="1" applyBorder="1" applyAlignment="1">
      <alignment horizontal="left" vertical="center"/>
    </xf>
    <xf numFmtId="0" fontId="42" fillId="3" borderId="25" xfId="0" applyFont="1" applyFill="1" applyBorder="1" applyAlignment="1">
      <alignment horizontal="left" vertical="center"/>
    </xf>
    <xf numFmtId="0" fontId="43" fillId="3" borderId="23" xfId="0" applyFont="1" applyFill="1" applyBorder="1" applyAlignment="1">
      <alignment horizontal="center" vertical="center"/>
    </xf>
    <xf numFmtId="0" fontId="43" fillId="3" borderId="24" xfId="0" applyFont="1" applyFill="1" applyBorder="1" applyAlignment="1">
      <alignment horizontal="center" vertical="center"/>
    </xf>
    <xf numFmtId="0" fontId="43" fillId="3" borderId="25" xfId="0" applyFont="1" applyFill="1" applyBorder="1" applyAlignment="1">
      <alignment horizontal="center" vertical="center"/>
    </xf>
    <xf numFmtId="0" fontId="45" fillId="3" borderId="26" xfId="0" applyFont="1" applyFill="1" applyBorder="1" applyAlignment="1">
      <alignment horizontal="right" vertical="center"/>
    </xf>
    <xf numFmtId="0" fontId="45" fillId="3" borderId="24" xfId="0" applyFont="1" applyFill="1" applyBorder="1" applyAlignment="1">
      <alignment horizontal="right" vertical="center"/>
    </xf>
    <xf numFmtId="0" fontId="45" fillId="3" borderId="25" xfId="0" applyFont="1" applyFill="1" applyBorder="1" applyAlignment="1">
      <alignment horizontal="right" vertical="center"/>
    </xf>
    <xf numFmtId="0" fontId="49" fillId="13" borderId="23" xfId="0" applyFont="1" applyFill="1" applyBorder="1" applyAlignment="1">
      <alignment horizontal="center" vertical="center"/>
    </xf>
    <xf numFmtId="0" fontId="49" fillId="13" borderId="24" xfId="0" applyFont="1" applyFill="1" applyBorder="1" applyAlignment="1">
      <alignment horizontal="center" vertical="center"/>
    </xf>
    <xf numFmtId="0" fontId="49" fillId="13" borderId="25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9" borderId="13" xfId="0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164" fontId="18" fillId="7" borderId="13" xfId="0" applyNumberFormat="1" applyFont="1" applyFill="1" applyBorder="1" applyAlignment="1">
      <alignment horizontal="center" vertical="center"/>
    </xf>
    <xf numFmtId="164" fontId="20" fillId="7" borderId="13" xfId="0" applyNumberFormat="1" applyFont="1" applyFill="1" applyBorder="1" applyAlignment="1">
      <alignment horizontal="center" vertical="center"/>
    </xf>
    <xf numFmtId="164" fontId="21" fillId="7" borderId="13" xfId="0" applyNumberFormat="1" applyFont="1" applyFill="1" applyBorder="1" applyAlignment="1">
      <alignment horizontal="center"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57" fillId="16" borderId="0" xfId="0" applyFont="1" applyFill="1" applyAlignment="1">
      <alignment horizontal="left" vertical="center"/>
    </xf>
    <xf numFmtId="0" fontId="57" fillId="16" borderId="1" xfId="0" applyFont="1" applyFill="1" applyBorder="1" applyAlignment="1">
      <alignment horizontal="left" vertical="center"/>
    </xf>
    <xf numFmtId="0" fontId="58" fillId="17" borderId="1" xfId="0" applyFont="1" applyFill="1" applyBorder="1" applyAlignment="1">
      <alignment horizontal="center" vertical="center"/>
    </xf>
    <xf numFmtId="0" fontId="59" fillId="18" borderId="1" xfId="0" applyFont="1" applyFill="1" applyBorder="1" applyAlignment="1">
      <alignment horizontal="center" vertical="center" wrapText="1"/>
    </xf>
    <xf numFmtId="49" fontId="60" fillId="18" borderId="1" xfId="0" applyNumberFormat="1" applyFont="1" applyFill="1" applyBorder="1" applyAlignment="1">
      <alignment horizontal="center" vertical="center"/>
    </xf>
    <xf numFmtId="0" fontId="58" fillId="17" borderId="1" xfId="0" applyFont="1" applyFill="1" applyBorder="1" applyAlignment="1">
      <alignment horizontal="left" vertical="center"/>
    </xf>
    <xf numFmtId="0" fontId="61" fillId="19" borderId="1" xfId="0" applyFont="1" applyFill="1" applyBorder="1" applyAlignment="1">
      <alignment horizontal="center" vertical="center"/>
    </xf>
    <xf numFmtId="0" fontId="61" fillId="19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168" fontId="62" fillId="0" borderId="1" xfId="0" applyNumberFormat="1" applyFont="1" applyBorder="1" applyAlignment="1">
      <alignment horizontal="right" vertical="center"/>
    </xf>
    <xf numFmtId="169" fontId="62" fillId="3" borderId="1" xfId="0" applyNumberFormat="1" applyFont="1" applyFill="1" applyBorder="1" applyAlignment="1">
      <alignment horizontal="center" vertical="center"/>
    </xf>
    <xf numFmtId="0" fontId="62" fillId="3" borderId="3" xfId="0" applyFont="1" applyFill="1" applyBorder="1" applyAlignment="1">
      <alignment horizontal="left" vertical="center"/>
    </xf>
    <xf numFmtId="0" fontId="62" fillId="3" borderId="4" xfId="0" applyFont="1" applyFill="1" applyBorder="1" applyAlignment="1">
      <alignment horizontal="left" vertical="center"/>
    </xf>
    <xf numFmtId="0" fontId="62" fillId="3" borderId="5" xfId="0" applyFont="1" applyFill="1" applyBorder="1" applyAlignment="1">
      <alignment horizontal="left" vertical="center"/>
    </xf>
    <xf numFmtId="0" fontId="63" fillId="3" borderId="1" xfId="0" applyFont="1" applyFill="1" applyBorder="1" applyAlignment="1">
      <alignment horizontal="center" vertical="center"/>
    </xf>
    <xf numFmtId="168" fontId="63" fillId="3" borderId="3" xfId="0" applyNumberFormat="1" applyFont="1" applyFill="1" applyBorder="1" applyAlignment="1">
      <alignment horizontal="right" vertical="center"/>
    </xf>
    <xf numFmtId="168" fontId="63" fillId="3" borderId="5" xfId="0" applyNumberFormat="1" applyFont="1" applyFill="1" applyBorder="1" applyAlignment="1">
      <alignment horizontal="right" vertical="center"/>
    </xf>
    <xf numFmtId="168" fontId="64" fillId="3" borderId="3" xfId="0" applyNumberFormat="1" applyFont="1" applyFill="1" applyBorder="1" applyAlignment="1">
      <alignment horizontal="right" vertical="center"/>
    </xf>
    <xf numFmtId="168" fontId="64" fillId="3" borderId="4" xfId="0" applyNumberFormat="1" applyFont="1" applyFill="1" applyBorder="1" applyAlignment="1">
      <alignment horizontal="right" vertical="center"/>
    </xf>
    <xf numFmtId="168" fontId="64" fillId="3" borderId="5" xfId="0" applyNumberFormat="1" applyFont="1" applyFill="1" applyBorder="1" applyAlignment="1">
      <alignment horizontal="right" vertical="center"/>
    </xf>
    <xf numFmtId="169" fontId="62" fillId="18" borderId="1" xfId="0" applyNumberFormat="1" applyFont="1" applyFill="1" applyBorder="1" applyAlignment="1">
      <alignment horizontal="center" vertical="center"/>
    </xf>
    <xf numFmtId="0" fontId="62" fillId="18" borderId="3" xfId="0" applyFont="1" applyFill="1" applyBorder="1" applyAlignment="1">
      <alignment horizontal="left" vertical="center"/>
    </xf>
    <xf numFmtId="0" fontId="62" fillId="18" borderId="4" xfId="0" applyFont="1" applyFill="1" applyBorder="1" applyAlignment="1">
      <alignment horizontal="left" vertical="center"/>
    </xf>
    <xf numFmtId="0" fontId="62" fillId="18" borderId="5" xfId="0" applyFont="1" applyFill="1" applyBorder="1" applyAlignment="1">
      <alignment horizontal="left" vertical="center"/>
    </xf>
    <xf numFmtId="0" fontId="63" fillId="18" borderId="1" xfId="0" applyFont="1" applyFill="1" applyBorder="1" applyAlignment="1">
      <alignment horizontal="center" vertical="center"/>
    </xf>
    <xf numFmtId="168" fontId="63" fillId="18" borderId="3" xfId="0" applyNumberFormat="1" applyFont="1" applyFill="1" applyBorder="1" applyAlignment="1">
      <alignment horizontal="right" vertical="center"/>
    </xf>
    <xf numFmtId="168" fontId="63" fillId="18" borderId="5" xfId="0" applyNumberFormat="1" applyFont="1" applyFill="1" applyBorder="1" applyAlignment="1">
      <alignment horizontal="right" vertical="center"/>
    </xf>
    <xf numFmtId="168" fontId="64" fillId="18" borderId="3" xfId="0" applyNumberFormat="1" applyFont="1" applyFill="1" applyBorder="1" applyAlignment="1">
      <alignment horizontal="right" vertical="center"/>
    </xf>
    <xf numFmtId="168" fontId="64" fillId="18" borderId="4" xfId="0" applyNumberFormat="1" applyFont="1" applyFill="1" applyBorder="1" applyAlignment="1">
      <alignment horizontal="right" vertical="center"/>
    </xf>
    <xf numFmtId="168" fontId="64" fillId="18" borderId="5" xfId="0" applyNumberFormat="1" applyFont="1" applyFill="1" applyBorder="1" applyAlignment="1">
      <alignment horizontal="right" vertical="center"/>
    </xf>
    <xf numFmtId="0" fontId="65" fillId="18" borderId="1" xfId="0" applyFont="1" applyFill="1" applyBorder="1" applyAlignment="1">
      <alignment horizontal="center" vertical="center"/>
    </xf>
    <xf numFmtId="168" fontId="65" fillId="18" borderId="3" xfId="0" applyNumberFormat="1" applyFont="1" applyFill="1" applyBorder="1" applyAlignment="1">
      <alignment horizontal="right" vertical="center"/>
    </xf>
    <xf numFmtId="168" fontId="65" fillId="18" borderId="5" xfId="0" applyNumberFormat="1" applyFont="1" applyFill="1" applyBorder="1" applyAlignment="1">
      <alignment horizontal="right" vertical="center"/>
    </xf>
    <xf numFmtId="0" fontId="65" fillId="3" borderId="1" xfId="0" applyFont="1" applyFill="1" applyBorder="1" applyAlignment="1">
      <alignment horizontal="center" vertical="center"/>
    </xf>
    <xf numFmtId="168" fontId="65" fillId="3" borderId="3" xfId="0" applyNumberFormat="1" applyFont="1" applyFill="1" applyBorder="1" applyAlignment="1">
      <alignment horizontal="right" vertical="center"/>
    </xf>
    <xf numFmtId="168" fontId="65" fillId="3" borderId="5" xfId="0" applyNumberFormat="1" applyFont="1" applyFill="1" applyBorder="1" applyAlignment="1">
      <alignment horizontal="right" vertical="center"/>
    </xf>
    <xf numFmtId="0" fontId="66" fillId="20" borderId="39" xfId="0" applyFont="1" applyFill="1" applyBorder="1" applyAlignment="1">
      <alignment horizontal="center" vertical="center"/>
    </xf>
    <xf numFmtId="0" fontId="66" fillId="21" borderId="39" xfId="0" applyFont="1" applyFill="1" applyBorder="1" applyAlignment="1">
      <alignment horizontal="left" vertical="center"/>
    </xf>
    <xf numFmtId="0" fontId="34" fillId="22" borderId="39" xfId="0" applyFont="1" applyFill="1" applyBorder="1" applyAlignment="1">
      <alignment horizontal="left" vertical="center" wrapText="1"/>
    </xf>
    <xf numFmtId="0" fontId="67" fillId="22" borderId="39" xfId="0" applyFont="1" applyFill="1" applyBorder="1" applyAlignment="1">
      <alignment horizontal="left" vertical="center" wrapText="1"/>
    </xf>
    <xf numFmtId="0" fontId="0" fillId="0" borderId="39" xfId="0" applyBorder="1"/>
    <xf numFmtId="0" fontId="34" fillId="6" borderId="10" xfId="0" applyFont="1" applyFill="1" applyBorder="1" applyAlignment="1">
      <alignment horizontal="left" vertical="center"/>
    </xf>
    <xf numFmtId="0" fontId="34" fillId="6" borderId="11" xfId="0" applyFont="1" applyFill="1" applyBorder="1" applyAlignment="1">
      <alignment horizontal="left" vertical="center"/>
    </xf>
    <xf numFmtId="0" fontId="36" fillId="23" borderId="0" xfId="0" applyFont="1" applyFill="1" applyBorder="1" applyAlignment="1">
      <alignment horizontal="left" vertical="center" wrapText="1"/>
    </xf>
    <xf numFmtId="0" fontId="68" fillId="23" borderId="0" xfId="0" applyFont="1" applyFill="1" applyBorder="1" applyAlignment="1">
      <alignment horizontal="center" vertical="center" wrapText="1"/>
    </xf>
    <xf numFmtId="0" fontId="69" fillId="23" borderId="0" xfId="0" applyFont="1" applyFill="1" applyBorder="1" applyAlignment="1">
      <alignment horizontal="center" vertical="center" wrapText="1"/>
    </xf>
    <xf numFmtId="0" fontId="36" fillId="23" borderId="40" xfId="0" applyFont="1" applyFill="1" applyBorder="1" applyAlignment="1">
      <alignment horizontal="left" vertical="center" wrapText="1"/>
    </xf>
    <xf numFmtId="0" fontId="68" fillId="23" borderId="40" xfId="0" applyFont="1" applyFill="1" applyBorder="1" applyAlignment="1">
      <alignment horizontal="center" vertical="center" wrapText="1"/>
    </xf>
    <xf numFmtId="0" fontId="69" fillId="23" borderId="40" xfId="0" applyFont="1" applyFill="1" applyBorder="1" applyAlignment="1">
      <alignment horizontal="center" vertical="center" wrapText="1"/>
    </xf>
    <xf numFmtId="0" fontId="36" fillId="23" borderId="41" xfId="0" applyFont="1" applyFill="1" applyBorder="1" applyAlignment="1">
      <alignment horizontal="left" vertical="center" wrapText="1"/>
    </xf>
    <xf numFmtId="0" fontId="68" fillId="23" borderId="41" xfId="0" applyFont="1" applyFill="1" applyBorder="1" applyAlignment="1">
      <alignment horizontal="center" vertical="center" wrapText="1"/>
    </xf>
    <xf numFmtId="0" fontId="69" fillId="23" borderId="41" xfId="0" applyFont="1" applyFill="1" applyBorder="1" applyAlignment="1">
      <alignment horizontal="center" vertical="center" wrapText="1"/>
    </xf>
    <xf numFmtId="0" fontId="30" fillId="23" borderId="0" xfId="0" applyFont="1" applyFill="1"/>
    <xf numFmtId="0" fontId="37" fillId="23" borderId="0" xfId="0" applyFont="1" applyFill="1" applyAlignment="1">
      <alignment horizontal="center" vertical="center" wrapText="1"/>
    </xf>
    <xf numFmtId="0" fontId="37" fillId="23" borderId="0" xfId="0" applyFont="1" applyFill="1" applyAlignment="1">
      <alignment horizontal="center" vertical="center"/>
    </xf>
    <xf numFmtId="0" fontId="38" fillId="23" borderId="0" xfId="0" applyFont="1" applyFill="1" applyAlignment="1">
      <alignment horizontal="left" vertical="center" indent="1"/>
    </xf>
    <xf numFmtId="0" fontId="3" fillId="12" borderId="42" xfId="0" applyFont="1" applyFill="1" applyBorder="1" applyAlignment="1">
      <alignment horizontal="left" vertical="center" indent="1"/>
    </xf>
    <xf numFmtId="0" fontId="38" fillId="23" borderId="19" xfId="0" applyFont="1" applyFill="1" applyBorder="1" applyAlignment="1">
      <alignment horizontal="left" vertical="center" indent="1"/>
    </xf>
    <xf numFmtId="0" fontId="39" fillId="23" borderId="0" xfId="0" applyFont="1" applyFill="1" applyAlignment="1">
      <alignment horizontal="center" vertical="center" wrapText="1"/>
    </xf>
    <xf numFmtId="0" fontId="39" fillId="23" borderId="0" xfId="0" applyFont="1" applyFill="1" applyAlignment="1">
      <alignment horizontal="center" vertical="center"/>
    </xf>
    <xf numFmtId="0" fontId="39" fillId="23" borderId="12" xfId="0" applyFont="1" applyFill="1" applyBorder="1" applyAlignment="1">
      <alignment horizontal="center" vertical="center"/>
    </xf>
    <xf numFmtId="170" fontId="31" fillId="24" borderId="20" xfId="0" applyNumberFormat="1" applyFont="1" applyFill="1" applyBorder="1" applyAlignment="1">
      <alignment horizontal="center" vertical="center"/>
    </xf>
    <xf numFmtId="170" fontId="31" fillId="24" borderId="43" xfId="0" applyNumberFormat="1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170" fontId="32" fillId="25" borderId="20" xfId="0" applyNumberFormat="1" applyFont="1" applyFill="1" applyBorder="1" applyAlignment="1">
      <alignment horizontal="center" vertical="center"/>
    </xf>
    <xf numFmtId="0" fontId="3" fillId="12" borderId="45" xfId="0" applyFont="1" applyFill="1" applyBorder="1" applyAlignment="1">
      <alignment horizontal="center" vertical="center"/>
    </xf>
    <xf numFmtId="170" fontId="32" fillId="25" borderId="43" xfId="0" applyNumberFormat="1" applyFont="1" applyFill="1" applyBorder="1" applyAlignment="1">
      <alignment horizontal="center" vertical="center"/>
    </xf>
    <xf numFmtId="0" fontId="3" fillId="14" borderId="46" xfId="0" applyFont="1" applyFill="1" applyBorder="1" applyAlignment="1">
      <alignment horizontal="center" vertical="center"/>
    </xf>
    <xf numFmtId="170" fontId="40" fillId="26" borderId="20" xfId="0" applyNumberFormat="1" applyFont="1" applyFill="1" applyBorder="1" applyAlignment="1">
      <alignment horizontal="center" vertical="center"/>
    </xf>
    <xf numFmtId="0" fontId="3" fillId="14" borderId="47" xfId="0" applyFont="1" applyFill="1" applyBorder="1" applyAlignment="1">
      <alignment horizontal="center" vertical="center"/>
    </xf>
    <xf numFmtId="170" fontId="40" fillId="26" borderId="43" xfId="0" applyNumberFormat="1" applyFont="1" applyFill="1" applyBorder="1" applyAlignment="1">
      <alignment horizontal="center" vertical="center"/>
    </xf>
    <xf numFmtId="0" fontId="3" fillId="10" borderId="48" xfId="0" applyFont="1" applyFill="1" applyBorder="1" applyAlignment="1">
      <alignment horizontal="center" vertical="center"/>
    </xf>
    <xf numFmtId="1" fontId="41" fillId="27" borderId="20" xfId="0" applyNumberFormat="1" applyFont="1" applyFill="1" applyBorder="1" applyAlignment="1">
      <alignment horizontal="center" vertical="center"/>
    </xf>
    <xf numFmtId="0" fontId="3" fillId="10" borderId="49" xfId="0" applyFont="1" applyFill="1" applyBorder="1" applyAlignment="1">
      <alignment horizontal="center" vertical="center"/>
    </xf>
    <xf numFmtId="1" fontId="41" fillId="27" borderId="43" xfId="0" applyNumberFormat="1" applyFont="1" applyFill="1" applyBorder="1" applyAlignment="1">
      <alignment horizontal="center" vertical="center"/>
    </xf>
    <xf numFmtId="0" fontId="3" fillId="15" borderId="50" xfId="0" applyFont="1" applyFill="1" applyBorder="1" applyAlignment="1">
      <alignment horizontal="center" vertical="center"/>
    </xf>
    <xf numFmtId="171" fontId="29" fillId="6" borderId="0" xfId="0" applyNumberFormat="1" applyFont="1" applyFill="1"/>
    <xf numFmtId="170" fontId="46" fillId="3" borderId="26" xfId="0" applyNumberFormat="1" applyFont="1" applyFill="1" applyBorder="1" applyAlignment="1">
      <alignment horizontal="right" vertical="center"/>
    </xf>
    <xf numFmtId="170" fontId="46" fillId="3" borderId="24" xfId="0" applyNumberFormat="1" applyFont="1" applyFill="1" applyBorder="1" applyAlignment="1">
      <alignment horizontal="right" vertical="center"/>
    </xf>
    <xf numFmtId="170" fontId="46" fillId="3" borderId="25" xfId="0" applyNumberFormat="1" applyFont="1" applyFill="1" applyBorder="1" applyAlignment="1">
      <alignment horizontal="right" vertical="center"/>
    </xf>
    <xf numFmtId="170" fontId="33" fillId="3" borderId="26" xfId="0" applyNumberFormat="1" applyFont="1" applyFill="1" applyBorder="1" applyAlignment="1">
      <alignment horizontal="right" vertical="center"/>
    </xf>
    <xf numFmtId="170" fontId="33" fillId="3" borderId="24" xfId="0" applyNumberFormat="1" applyFont="1" applyFill="1" applyBorder="1" applyAlignment="1">
      <alignment horizontal="right" vertical="center"/>
    </xf>
    <xf numFmtId="170" fontId="33" fillId="3" borderId="25" xfId="0" applyNumberFormat="1" applyFont="1" applyFill="1" applyBorder="1" applyAlignment="1">
      <alignment horizontal="right" vertical="center"/>
    </xf>
    <xf numFmtId="0" fontId="54" fillId="2" borderId="0" xfId="0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9" fontId="56" fillId="2" borderId="0" xfId="0" applyNumberFormat="1" applyFont="1" applyFill="1" applyBorder="1" applyAlignment="1">
      <alignment horizontal="center" vertical="center"/>
    </xf>
    <xf numFmtId="170" fontId="51" fillId="3" borderId="28" xfId="0" applyNumberFormat="1" applyFont="1" applyFill="1" applyBorder="1" applyAlignment="1">
      <alignment horizontal="center" vertical="center"/>
    </xf>
    <xf numFmtId="170" fontId="51" fillId="3" borderId="29" xfId="0" applyNumberFormat="1" applyFont="1" applyFill="1" applyBorder="1" applyAlignment="1">
      <alignment horizontal="center" vertical="center"/>
    </xf>
    <xf numFmtId="170" fontId="51" fillId="3" borderId="30" xfId="0" applyNumberFormat="1" applyFont="1" applyFill="1" applyBorder="1" applyAlignment="1">
      <alignment horizontal="center" vertical="center"/>
    </xf>
    <xf numFmtId="170" fontId="51" fillId="3" borderId="33" xfId="0" applyNumberFormat="1" applyFont="1" applyFill="1" applyBorder="1" applyAlignment="1">
      <alignment horizontal="center" vertical="center"/>
    </xf>
    <xf numFmtId="170" fontId="51" fillId="3" borderId="34" xfId="0" applyNumberFormat="1" applyFont="1" applyFill="1" applyBorder="1" applyAlignment="1">
      <alignment horizontal="center" vertical="center"/>
    </xf>
    <xf numFmtId="170" fontId="51" fillId="3" borderId="35" xfId="0" applyNumberFormat="1" applyFont="1" applyFill="1" applyBorder="1" applyAlignment="1">
      <alignment horizontal="center" vertical="center"/>
    </xf>
    <xf numFmtId="0" fontId="52" fillId="3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7200</c:v>
                </c:pt>
                <c:pt idx="1">
                  <c:v>4450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Financeiro</c:v>
          </c:tx>
          <c:invertIfNegative val="0"/>
          <c:dLbls>
            <c:numFmt formatCode="\R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7200</c:v>
              </c:pt>
              <c:pt idx="1">
                <c:v>4450</c:v>
              </c:pt>
            </c:numLit>
          </c:val>
          <c:extLst>
            <c:ext xmlns:c16="http://schemas.microsoft.com/office/drawing/2014/chart" uri="{C3380CC4-5D6E-409C-BE32-E72D297353CC}">
              <c16:uniqueId val="{0000000D-4399-414E-99D3-BB174A26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5711"/>
        <c:axId val="1963541071"/>
      </c:barChart>
      <c:catAx>
        <c:axId val="205711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pt-BR"/>
          </a:p>
        </c:txPr>
        <c:crossAx val="1963541071"/>
        <c:crosses val="autoZero"/>
        <c:auto val="1"/>
        <c:lblAlgn val="ctr"/>
        <c:lblOffset val="100"/>
        <c:noMultiLvlLbl val="0"/>
      </c:catAx>
      <c:valAx>
        <c:axId val="1963541071"/>
        <c:scaling>
          <c:orientation val="minMax"/>
          <c:max val="10000"/>
          <c:min val="0"/>
        </c:scaling>
        <c:delete val="0"/>
        <c:axPos val="l"/>
        <c:majorGridlines>
          <c:spPr>
            <a:ln>
              <a:solidFill>
                <a:srgbClr val="DCE2E6"/>
              </a:solidFill>
            </a:ln>
          </c:spPr>
        </c:majorGridlines>
        <c:numFmt formatCode="\R&quot;R$&quot;\ 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pt-BR"/>
          </a:p>
        </c:txPr>
        <c:crossAx val="2057115711"/>
        <c:crosses val="autoZero"/>
        <c:crossBetween val="between"/>
        <c:majorUnit val="200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Aptos" panose="020B0004020202020204" pitchFamily="34" charset="0"/>
              </a:defRPr>
            </a:pPr>
            <a:r>
              <a:rPr lang="en-US" sz="1100" b="1">
                <a:latin typeface="Aptos" panose="020B0004020202020204" pitchFamily="34" charset="0"/>
              </a:rPr>
              <a:t>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Saldo</c:v>
          </c:tx>
          <c:spPr>
            <a:ln w="28575">
              <a:solidFill>
                <a:srgbClr val="3498DB"/>
              </a:solidFill>
            </a:ln>
          </c:spPr>
          <c:marker>
            <c:symbol val="circle"/>
            <c:size val="6"/>
            <c:spPr>
              <a:solidFill>
                <a:srgbClr val="FFFFFF"/>
              </a:solidFill>
              <a:ln w="28575">
                <a:solidFill>
                  <a:srgbClr val="3498DB"/>
                </a:solidFill>
                <a:prstDash val="solid"/>
              </a:ln>
            </c:spPr>
          </c:marker>
          <c:dLbls>
            <c:numFmt formatCode="&quot;R$ &quot;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latin typeface="Aptos" panose="020B00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Dashboard_V2!$P$51:$P$52</c:f>
              <c:numCache>
                <c:formatCode>mmm/yyyy</c:formatCode>
                <c:ptCount val="2"/>
                <c:pt idx="0">
                  <c:v>46235</c:v>
                </c:pt>
                <c:pt idx="1">
                  <c:v>46266</c:v>
                </c:pt>
              </c:numCache>
            </c:numRef>
          </c:cat>
          <c:val>
            <c:numRef>
              <c:f>Dashboard_V2!$Q$51:$Q$52</c:f>
              <c:numCache>
                <c:formatCode>"R$ "#,##0.00</c:formatCode>
                <c:ptCount val="2"/>
                <c:pt idx="0">
                  <c:v>3600</c:v>
                </c:pt>
                <c:pt idx="1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33-4C12-B68B-AA16741F8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3871"/>
        <c:axId val="1963539631"/>
      </c:lineChart>
      <c:dateAx>
        <c:axId val="60943871"/>
        <c:scaling>
          <c:orientation val="minMax"/>
        </c:scaling>
        <c:delete val="0"/>
        <c:axPos val="b"/>
        <c:numFmt formatCode="mmm/yyyy" sourceLinked="0"/>
        <c:majorTickMark val="out"/>
        <c:minorTickMark val="none"/>
        <c:tickLblPos val="nextTo"/>
        <c:spPr>
          <a:ln>
            <a:solidFill>
              <a:srgbClr val="D2D8DE"/>
            </a:solidFill>
          </a:ln>
        </c:spPr>
        <c:txPr>
          <a:bodyPr/>
          <a:lstStyle/>
          <a:p>
            <a:pPr>
              <a:defRPr sz="700">
                <a:latin typeface="Aptos"/>
                <a:ea typeface="Aptos"/>
                <a:cs typeface="Aptos"/>
              </a:defRPr>
            </a:pPr>
            <a:endParaRPr lang="pt-BR"/>
          </a:p>
        </c:txPr>
        <c:crossAx val="1963539631"/>
        <c:crosses val="autoZero"/>
        <c:auto val="1"/>
        <c:lblOffset val="100"/>
        <c:baseTimeUnit val="months"/>
      </c:dateAx>
      <c:valAx>
        <c:axId val="1963539631"/>
        <c:scaling>
          <c:orientation val="minMax"/>
        </c:scaling>
        <c:delete val="0"/>
        <c:axPos val="l"/>
        <c:majorGridlines>
          <c:spPr>
            <a:ln>
              <a:solidFill>
                <a:srgbClr val="E1E6EB"/>
              </a:solidFill>
            </a:ln>
          </c:spPr>
        </c:majorGridlines>
        <c:numFmt formatCode="&quot;R$ &quot;#.##0" sourceLinked="0"/>
        <c:majorTickMark val="out"/>
        <c:minorTickMark val="none"/>
        <c:tickLblPos val="nextTo"/>
        <c:spPr>
          <a:ln>
            <a:solidFill>
              <a:srgbClr val="D2D8DE"/>
            </a:solidFill>
          </a:ln>
        </c:spPr>
        <c:txPr>
          <a:bodyPr/>
          <a:lstStyle/>
          <a:p>
            <a:pPr>
              <a:defRPr sz="700">
                <a:latin typeface="Aptos"/>
                <a:ea typeface="Aptos"/>
                <a:cs typeface="Aptos"/>
              </a:defRPr>
            </a:pPr>
            <a:endParaRPr lang="pt-BR"/>
          </a:p>
        </c:txPr>
        <c:crossAx val="60943871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rgbClr val="DCE1E6"/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232D37"/>
                </a:solidFill>
                <a:latin typeface="Aptos"/>
                <a:ea typeface="Aptos"/>
                <a:cs typeface="Aptos"/>
              </a:defRPr>
            </a:pPr>
            <a:r>
              <a:rPr lang="en-US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Financeiro</c:v>
          </c:tx>
          <c:invertIfNegative val="0"/>
          <c:dPt>
            <c:idx val="0"/>
            <c:invertIfNegative val="0"/>
            <c:bubble3D val="0"/>
            <c:spPr>
              <a:solidFill>
                <a:srgbClr val="27AE60"/>
              </a:solidFill>
              <a:ln>
                <a:solidFill>
                  <a:srgbClr val="27AE6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F962-43F9-B9C6-8CBF315A388B}"/>
              </c:ext>
            </c:extLst>
          </c:dPt>
          <c:dPt>
            <c:idx val="1"/>
            <c:invertIfNegative val="0"/>
            <c:bubble3D val="0"/>
            <c:spPr>
              <a:solidFill>
                <a:srgbClr val="E74C3C"/>
              </a:solidFill>
              <a:ln>
                <a:solidFill>
                  <a:srgbClr val="E74C3C"/>
                </a:solidFill>
              </a:ln>
            </c:spPr>
            <c:extLst>
              <c:ext xmlns:c16="http://schemas.microsoft.com/office/drawing/2014/chart" uri="{C3380CC4-5D6E-409C-BE32-E72D297353CC}">
                <c16:uniqueId val="{0000001B-F962-43F9-B9C6-8CBF315A388B}"/>
              </c:ext>
            </c:extLst>
          </c:dPt>
          <c:dLbls>
            <c:numFmt formatCode="&quot;R$ &quot;#.##0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latin typeface="Aptos"/>
                    <a:ea typeface="Aptos"/>
                    <a:cs typeface="Apto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2"/>
              <c:pt idx="0">
                <c:v>Receitas</c:v>
              </c:pt>
              <c:pt idx="1">
                <c:v>Despesas</c:v>
              </c:pt>
            </c:strLit>
          </c:cat>
          <c:val>
            <c:numLit>
              <c:formatCode>General</c:formatCode>
              <c:ptCount val="2"/>
              <c:pt idx="0">
                <c:v>7200</c:v>
              </c:pt>
              <c:pt idx="1">
                <c:v>4450</c:v>
              </c:pt>
            </c:numLit>
          </c:val>
          <c:extLst>
            <c:ext xmlns:c16="http://schemas.microsoft.com/office/drawing/2014/chart" uri="{C3380CC4-5D6E-409C-BE32-E72D297353CC}">
              <c16:uniqueId val="{00000019-F962-43F9-B9C6-8CBF315A3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739151"/>
        <c:axId val="738735759"/>
      </c:barChart>
      <c:catAx>
        <c:axId val="814739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D2D8DE"/>
            </a:solidFill>
          </a:ln>
        </c:spPr>
        <c:txPr>
          <a:bodyPr/>
          <a:lstStyle/>
          <a:p>
            <a:pPr>
              <a:defRPr sz="800" b="1">
                <a:latin typeface="Aptos"/>
                <a:ea typeface="Aptos"/>
                <a:cs typeface="Aptos"/>
              </a:defRPr>
            </a:pPr>
            <a:endParaRPr lang="pt-BR"/>
          </a:p>
        </c:txPr>
        <c:crossAx val="738735759"/>
        <c:crosses val="autoZero"/>
        <c:auto val="1"/>
        <c:lblAlgn val="ctr"/>
        <c:lblOffset val="100"/>
        <c:noMultiLvlLbl val="0"/>
      </c:catAx>
      <c:valAx>
        <c:axId val="738735759"/>
        <c:scaling>
          <c:orientation val="minMax"/>
          <c:max val="10000"/>
          <c:min val="0"/>
        </c:scaling>
        <c:delete val="0"/>
        <c:axPos val="l"/>
        <c:majorGridlines>
          <c:spPr>
            <a:ln>
              <a:solidFill>
                <a:srgbClr val="E1E6EB"/>
              </a:solidFill>
            </a:ln>
          </c:spPr>
        </c:majorGridlines>
        <c:numFmt formatCode="&quot;R$ &quot;#.##0" sourceLinked="0"/>
        <c:majorTickMark val="out"/>
        <c:minorTickMark val="none"/>
        <c:tickLblPos val="nextTo"/>
        <c:spPr>
          <a:ln>
            <a:solidFill>
              <a:srgbClr val="D2D8DE"/>
            </a:solidFill>
          </a:ln>
        </c:spPr>
        <c:txPr>
          <a:bodyPr/>
          <a:lstStyle/>
          <a:p>
            <a:pPr>
              <a:defRPr sz="700">
                <a:latin typeface="Aptos"/>
                <a:ea typeface="Aptos"/>
                <a:cs typeface="Aptos"/>
              </a:defRPr>
            </a:pPr>
            <a:endParaRPr lang="pt-BR"/>
          </a:p>
        </c:txPr>
        <c:crossAx val="814739151"/>
        <c:crosses val="autoZero"/>
        <c:crossBetween val="between"/>
        <c:majorUnit val="200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rgbClr val="DCE1E6"/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>
                <a:latin typeface="Aptos" panose="020B0004020202020204" pitchFamily="34" charset="0"/>
              </a:defRPr>
            </a:pPr>
            <a:r>
              <a:rPr lang="pt-BR" sz="1000" b="1">
                <a:latin typeface="Aptos" panose="020B0004020202020204" pitchFamily="34" charset="0"/>
              </a:rPr>
              <a:t>Despesas por Categoria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Despesas</c:v>
          </c:tx>
          <c:dPt>
            <c:idx val="0"/>
            <c:bubble3D val="0"/>
            <c:spPr>
              <a:solidFill>
                <a:srgbClr val="3498DB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9D3D-4860-83C2-4A229E3578C8}"/>
              </c:ext>
            </c:extLst>
          </c:dPt>
          <c:dPt>
            <c:idx val="1"/>
            <c:bubble3D val="0"/>
            <c:spPr>
              <a:solidFill>
                <a:srgbClr val="27AE60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9D3D-4860-83C2-4A229E3578C8}"/>
              </c:ext>
            </c:extLst>
          </c:dPt>
          <c:dPt>
            <c:idx val="2"/>
            <c:bubble3D val="0"/>
            <c:spPr>
              <a:solidFill>
                <a:srgbClr val="F1C40F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9D3D-4860-83C2-4A229E3578C8}"/>
              </c:ext>
            </c:extLst>
          </c:dPt>
          <c:cat>
            <c:strLit>
              <c:ptCount val="3"/>
              <c:pt idx="0">
                <c:v>Alimentação</c:v>
              </c:pt>
              <c:pt idx="1">
                <c:v>Contas</c:v>
              </c:pt>
              <c:pt idx="2">
                <c:v>Transporte</c:v>
              </c:pt>
            </c:strLit>
          </c:cat>
          <c:val>
            <c:numLit>
              <c:formatCode>General</c:formatCode>
              <c:ptCount val="3"/>
              <c:pt idx="0">
                <c:v>4000</c:v>
              </c:pt>
              <c:pt idx="1">
                <c:v>200</c:v>
              </c:pt>
              <c:pt idx="2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9-9D3D-4860-83C2-4A229E357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700">
              <a:latin typeface="Aptos"/>
              <a:ea typeface="Aptos"/>
              <a:cs typeface="Apto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30" name="SFE_CAT_PAINEL">
          <a:extLst>
            <a:ext uri="{FF2B5EF4-FFF2-40B4-BE49-F238E27FC236}">
              <a16:creationId xmlns:a16="http://schemas.microsoft.com/office/drawing/2014/main" id="{3F75E583-D34F-FA18-DC5D-9587EE59A988}"/>
            </a:ext>
          </a:extLst>
        </xdr:cNvPr>
        <xdr:cNvSpPr/>
      </xdr:nvSpPr>
      <xdr:spPr>
        <a:xfrm>
          <a:off x="8210550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714375</xdr:colOff>
      <xdr:row>9</xdr:row>
      <xdr:rowOff>139700</xdr:rowOff>
    </xdr:to>
    <xdr:sp macro="" textlink="">
      <xdr:nvSpPr>
        <xdr:cNvPr id="31" name="SFE_CAT_TITULO">
          <a:extLst>
            <a:ext uri="{FF2B5EF4-FFF2-40B4-BE49-F238E27FC236}">
              <a16:creationId xmlns:a16="http://schemas.microsoft.com/office/drawing/2014/main" id="{81FE74B6-E454-CE67-98DE-DEAD1ED6E875}"/>
            </a:ext>
          </a:extLst>
        </xdr:cNvPr>
        <xdr:cNvSpPr txBox="1"/>
      </xdr:nvSpPr>
      <xdr:spPr>
        <a:xfrm>
          <a:off x="8401050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295275</xdr:colOff>
      <xdr:row>10</xdr:row>
      <xdr:rowOff>146049</xdr:rowOff>
    </xdr:from>
    <xdr:to>
      <xdr:col>10</xdr:col>
      <xdr:colOff>777875</xdr:colOff>
      <xdr:row>12</xdr:row>
      <xdr:rowOff>222249</xdr:rowOff>
    </xdr:to>
    <xdr:sp macro="" textlink="">
      <xdr:nvSpPr>
        <xdr:cNvPr id="32" name="SFE_CAT_ORELHA1">
          <a:extLst>
            <a:ext uri="{FF2B5EF4-FFF2-40B4-BE49-F238E27FC236}">
              <a16:creationId xmlns:a16="http://schemas.microsoft.com/office/drawing/2014/main" id="{B928FFA7-B43E-4C2F-C05B-510FF7C1D00D}"/>
            </a:ext>
          </a:extLst>
        </xdr:cNvPr>
        <xdr:cNvSpPr/>
      </xdr:nvSpPr>
      <xdr:spPr>
        <a:xfrm rot="20100000">
          <a:off x="94107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146049</xdr:rowOff>
    </xdr:from>
    <xdr:to>
      <xdr:col>11</xdr:col>
      <xdr:colOff>609600</xdr:colOff>
      <xdr:row>12</xdr:row>
      <xdr:rowOff>222249</xdr:rowOff>
    </xdr:to>
    <xdr:sp macro="" textlink="">
      <xdr:nvSpPr>
        <xdr:cNvPr id="33" name="SFE_CAT_ORELHA2">
          <a:extLst>
            <a:ext uri="{FF2B5EF4-FFF2-40B4-BE49-F238E27FC236}">
              <a16:creationId xmlns:a16="http://schemas.microsoft.com/office/drawing/2014/main" id="{E33EB940-8141-CB73-5EC5-E9518F4A9D6B}"/>
            </a:ext>
          </a:extLst>
        </xdr:cNvPr>
        <xdr:cNvSpPr/>
      </xdr:nvSpPr>
      <xdr:spPr>
        <a:xfrm rot="1500000">
          <a:off x="101473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174625</xdr:colOff>
      <xdr:row>11</xdr:row>
      <xdr:rowOff>57149</xdr:rowOff>
    </xdr:from>
    <xdr:to>
      <xdr:col>11</xdr:col>
      <xdr:colOff>730250</xdr:colOff>
      <xdr:row>17</xdr:row>
      <xdr:rowOff>3174</xdr:rowOff>
    </xdr:to>
    <xdr:sp macro="" textlink="">
      <xdr:nvSpPr>
        <xdr:cNvPr id="34" name="SFE_CAT_CABECA">
          <a:extLst>
            <a:ext uri="{FF2B5EF4-FFF2-40B4-BE49-F238E27FC236}">
              <a16:creationId xmlns:a16="http://schemas.microsoft.com/office/drawing/2014/main" id="{8A6EA43B-34EE-6954-CE97-285A1263AAC6}"/>
            </a:ext>
          </a:extLst>
        </xdr:cNvPr>
        <xdr:cNvSpPr/>
      </xdr:nvSpPr>
      <xdr:spPr>
        <a:xfrm>
          <a:off x="9290050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498475</xdr:colOff>
      <xdr:row>13</xdr:row>
      <xdr:rowOff>101599</xdr:rowOff>
    </xdr:from>
    <xdr:to>
      <xdr:col>10</xdr:col>
      <xdr:colOff>650875</xdr:colOff>
      <xdr:row>14</xdr:row>
      <xdr:rowOff>6349</xdr:rowOff>
    </xdr:to>
    <xdr:sp macro="" textlink="">
      <xdr:nvSpPr>
        <xdr:cNvPr id="35" name="SFE_CAT_OLHO1">
          <a:extLst>
            <a:ext uri="{FF2B5EF4-FFF2-40B4-BE49-F238E27FC236}">
              <a16:creationId xmlns:a16="http://schemas.microsoft.com/office/drawing/2014/main" id="{35E1D28D-8AD9-A62B-2925-6C27A8956066}"/>
            </a:ext>
          </a:extLst>
        </xdr:cNvPr>
        <xdr:cNvSpPr/>
      </xdr:nvSpPr>
      <xdr:spPr>
        <a:xfrm>
          <a:off x="96139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101599</xdr:rowOff>
    </xdr:from>
    <xdr:to>
      <xdr:col>11</xdr:col>
      <xdr:colOff>431800</xdr:colOff>
      <xdr:row>14</xdr:row>
      <xdr:rowOff>6349</xdr:rowOff>
    </xdr:to>
    <xdr:sp macro="" textlink="">
      <xdr:nvSpPr>
        <xdr:cNvPr id="36" name="SFE_CAT_OLHO2">
          <a:extLst>
            <a:ext uri="{FF2B5EF4-FFF2-40B4-BE49-F238E27FC236}">
              <a16:creationId xmlns:a16="http://schemas.microsoft.com/office/drawing/2014/main" id="{372112A9-2313-AB45-783F-59FF5025CBCE}"/>
            </a:ext>
          </a:extLst>
        </xdr:cNvPr>
        <xdr:cNvSpPr/>
      </xdr:nvSpPr>
      <xdr:spPr>
        <a:xfrm>
          <a:off x="102997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815975</xdr:colOff>
      <xdr:row>14</xdr:row>
      <xdr:rowOff>107949</xdr:rowOff>
    </xdr:from>
    <xdr:to>
      <xdr:col>11</xdr:col>
      <xdr:colOff>88900</xdr:colOff>
      <xdr:row>14</xdr:row>
      <xdr:rowOff>234949</xdr:rowOff>
    </xdr:to>
    <xdr:sp macro="" textlink="">
      <xdr:nvSpPr>
        <xdr:cNvPr id="37" name="SFE_CAT_NARIZ">
          <a:extLst>
            <a:ext uri="{FF2B5EF4-FFF2-40B4-BE49-F238E27FC236}">
              <a16:creationId xmlns:a16="http://schemas.microsoft.com/office/drawing/2014/main" id="{31168D8A-68C8-6E41-41FA-8D85A026BF73}"/>
            </a:ext>
          </a:extLst>
        </xdr:cNvPr>
        <xdr:cNvSpPr/>
      </xdr:nvSpPr>
      <xdr:spPr>
        <a:xfrm rot="10800000">
          <a:off x="9931400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142875</xdr:colOff>
      <xdr:row>14</xdr:row>
      <xdr:rowOff>234949</xdr:rowOff>
    </xdr:from>
    <xdr:to>
      <xdr:col>11</xdr:col>
      <xdr:colOff>254000</xdr:colOff>
      <xdr:row>17</xdr:row>
      <xdr:rowOff>225424</xdr:rowOff>
    </xdr:to>
    <xdr:sp macro="" textlink="">
      <xdr:nvSpPr>
        <xdr:cNvPr id="38" name="SFE_CAT_BOCA">
          <a:extLst>
            <a:ext uri="{FF2B5EF4-FFF2-40B4-BE49-F238E27FC236}">
              <a16:creationId xmlns:a16="http://schemas.microsoft.com/office/drawing/2014/main" id="{D1378567-79F4-A08C-610F-1BBAEC4179B5}"/>
            </a:ext>
          </a:extLst>
        </xdr:cNvPr>
        <xdr:cNvSpPr/>
      </xdr:nvSpPr>
      <xdr:spPr>
        <a:xfrm>
          <a:off x="9258300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14</xdr:row>
      <xdr:rowOff>146049</xdr:rowOff>
    </xdr:from>
    <xdr:to>
      <xdr:col>10</xdr:col>
      <xdr:colOff>485775</xdr:colOff>
      <xdr:row>14</xdr:row>
      <xdr:rowOff>247649</xdr:rowOff>
    </xdr:to>
    <xdr:sp macro="" textlink="">
      <xdr:nvSpPr>
        <xdr:cNvPr id="39" name="SFE_CAT_BOCHECHA1">
          <a:extLst>
            <a:ext uri="{FF2B5EF4-FFF2-40B4-BE49-F238E27FC236}">
              <a16:creationId xmlns:a16="http://schemas.microsoft.com/office/drawing/2014/main" id="{DC9D7983-12EF-B249-330E-79EF83D3104A}"/>
            </a:ext>
          </a:extLst>
        </xdr:cNvPr>
        <xdr:cNvSpPr/>
      </xdr:nvSpPr>
      <xdr:spPr>
        <a:xfrm>
          <a:off x="94488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146049</xdr:rowOff>
    </xdr:from>
    <xdr:to>
      <xdr:col>11</xdr:col>
      <xdr:colOff>571500</xdr:colOff>
      <xdr:row>14</xdr:row>
      <xdr:rowOff>247649</xdr:rowOff>
    </xdr:to>
    <xdr:sp macro="" textlink="">
      <xdr:nvSpPr>
        <xdr:cNvPr id="40" name="SFE_CAT_BOCHECHA2">
          <a:extLst>
            <a:ext uri="{FF2B5EF4-FFF2-40B4-BE49-F238E27FC236}">
              <a16:creationId xmlns:a16="http://schemas.microsoft.com/office/drawing/2014/main" id="{7B2D77E0-A261-C53E-639C-B737856BA910}"/>
            </a:ext>
          </a:extLst>
        </xdr:cNvPr>
        <xdr:cNvSpPr/>
      </xdr:nvSpPr>
      <xdr:spPr>
        <a:xfrm>
          <a:off x="104394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225425</xdr:rowOff>
    </xdr:from>
    <xdr:to>
      <xdr:col>12</xdr:col>
      <xdr:colOff>650875</xdr:colOff>
      <xdr:row>22</xdr:row>
      <xdr:rowOff>292100</xdr:rowOff>
    </xdr:to>
    <xdr:sp macro="" textlink="">
      <xdr:nvSpPr>
        <xdr:cNvPr id="41" name="SFE_CAT_MENSAGEM">
          <a:extLst>
            <a:ext uri="{FF2B5EF4-FFF2-40B4-BE49-F238E27FC236}">
              <a16:creationId xmlns:a16="http://schemas.microsoft.com/office/drawing/2014/main" id="{996471B1-DE5A-17D9-FB69-CA3CCBD5A8C9}"/>
            </a:ext>
          </a:extLst>
        </xdr:cNvPr>
        <xdr:cNvSpPr txBox="1"/>
      </xdr:nvSpPr>
      <xdr:spPr>
        <a:xfrm>
          <a:off x="8464550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9" name="chtV2ReceitasDespesas">
          <a:extLst>
            <a:ext uri="{FF2B5EF4-FFF2-40B4-BE49-F238E27FC236}">
              <a16:creationId xmlns:a16="http://schemas.microsoft.com/office/drawing/2014/main" id="{7C44FB6A-61B9-77FC-48F8-A263F071C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282575</xdr:colOff>
      <xdr:row>12</xdr:row>
      <xdr:rowOff>104775</xdr:rowOff>
    </xdr:from>
    <xdr:to>
      <xdr:col>11</xdr:col>
      <xdr:colOff>727075</xdr:colOff>
      <xdr:row>14</xdr:row>
      <xdr:rowOff>161925</xdr:rowOff>
    </xdr:to>
    <xdr:sp macro="" textlink="">
      <xdr:nvSpPr>
        <xdr:cNvPr id="11" name="SFE_V2_PERSONAGEM_ORELHA1">
          <a:extLst>
            <a:ext uri="{FF2B5EF4-FFF2-40B4-BE49-F238E27FC236}">
              <a16:creationId xmlns:a16="http://schemas.microsoft.com/office/drawing/2014/main" id="{B4B03ACF-367F-43EE-7BE1-8A55348A29E6}"/>
            </a:ext>
          </a:extLst>
        </xdr:cNvPr>
        <xdr:cNvSpPr/>
      </xdr:nvSpPr>
      <xdr:spPr>
        <a:xfrm rot="-1080000">
          <a:off x="92741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12</xdr:row>
      <xdr:rowOff>104775</xdr:rowOff>
    </xdr:from>
    <xdr:to>
      <xdr:col>12</xdr:col>
      <xdr:colOff>698500</xdr:colOff>
      <xdr:row>14</xdr:row>
      <xdr:rowOff>161925</xdr:rowOff>
    </xdr:to>
    <xdr:sp macro="" textlink="">
      <xdr:nvSpPr>
        <xdr:cNvPr id="12" name="SFE_V2_PERSONAGEM_ORELHA2">
          <a:extLst>
            <a:ext uri="{FF2B5EF4-FFF2-40B4-BE49-F238E27FC236}">
              <a16:creationId xmlns:a16="http://schemas.microsoft.com/office/drawing/2014/main" id="{0C5527A4-061C-9BA4-6324-F90C4EE4B14B}"/>
            </a:ext>
          </a:extLst>
        </xdr:cNvPr>
        <xdr:cNvSpPr/>
      </xdr:nvSpPr>
      <xdr:spPr>
        <a:xfrm rot="1080000">
          <a:off x="10226675" y="3505200"/>
          <a:ext cx="444500" cy="609600"/>
        </a:xfrm>
        <a:prstGeom prst="ellipse">
          <a:avLst/>
        </a:prstGeom>
        <a:solidFill>
          <a:srgbClr val="E8D5BE"/>
        </a:solidFill>
        <a:ln w="1524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244475</xdr:colOff>
      <xdr:row>13</xdr:row>
      <xdr:rowOff>82550</xdr:rowOff>
    </xdr:from>
    <xdr:to>
      <xdr:col>12</xdr:col>
      <xdr:colOff>736600</xdr:colOff>
      <xdr:row>18</xdr:row>
      <xdr:rowOff>73025</xdr:rowOff>
    </xdr:to>
    <xdr:sp macro="" textlink="">
      <xdr:nvSpPr>
        <xdr:cNvPr id="13" name="SFE_V2_PERSONAGEM_CABEA">
          <a:extLst>
            <a:ext uri="{FF2B5EF4-FFF2-40B4-BE49-F238E27FC236}">
              <a16:creationId xmlns:a16="http://schemas.microsoft.com/office/drawing/2014/main" id="{F929AA7B-0D4F-141D-D80C-216D97118F27}"/>
            </a:ext>
          </a:extLst>
        </xdr:cNvPr>
        <xdr:cNvSpPr/>
      </xdr:nvSpPr>
      <xdr:spPr>
        <a:xfrm>
          <a:off x="9236075" y="3759200"/>
          <a:ext cx="1473200" cy="1371600"/>
        </a:xfrm>
        <a:prstGeom prst="ellipse">
          <a:avLst/>
        </a:prstGeom>
        <a:solidFill>
          <a:srgbClr val="F5E2C9"/>
        </a:solidFill>
        <a:ln w="16510">
          <a:solidFill>
            <a:srgbClr val="B49B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574675</xdr:colOff>
      <xdr:row>15</xdr:row>
      <xdr:rowOff>0</xdr:rowOff>
    </xdr:from>
    <xdr:to>
      <xdr:col>11</xdr:col>
      <xdr:colOff>752475</xdr:colOff>
      <xdr:row>15</xdr:row>
      <xdr:rowOff>228600</xdr:rowOff>
    </xdr:to>
    <xdr:sp macro="" textlink="">
      <xdr:nvSpPr>
        <xdr:cNvPr id="14" name="SFE_V2_PERSONAGEM_OLHO1">
          <a:extLst>
            <a:ext uri="{FF2B5EF4-FFF2-40B4-BE49-F238E27FC236}">
              <a16:creationId xmlns:a16="http://schemas.microsoft.com/office/drawing/2014/main" id="{660A39A9-8FE3-7DF8-20D8-B25ADF54EF4A}"/>
            </a:ext>
          </a:extLst>
        </xdr:cNvPr>
        <xdr:cNvSpPr/>
      </xdr:nvSpPr>
      <xdr:spPr>
        <a:xfrm>
          <a:off x="9566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228600</xdr:colOff>
      <xdr:row>15</xdr:row>
      <xdr:rowOff>0</xdr:rowOff>
    </xdr:from>
    <xdr:to>
      <xdr:col>12</xdr:col>
      <xdr:colOff>406400</xdr:colOff>
      <xdr:row>15</xdr:row>
      <xdr:rowOff>228600</xdr:rowOff>
    </xdr:to>
    <xdr:sp macro="" textlink="">
      <xdr:nvSpPr>
        <xdr:cNvPr id="15" name="SFE_V2_PERSONAGEM_OLHO2">
          <a:extLst>
            <a:ext uri="{FF2B5EF4-FFF2-40B4-BE49-F238E27FC236}">
              <a16:creationId xmlns:a16="http://schemas.microsoft.com/office/drawing/2014/main" id="{B6A6BC7C-6351-1101-A5AF-601C34A2CF25}"/>
            </a:ext>
          </a:extLst>
        </xdr:cNvPr>
        <xdr:cNvSpPr/>
      </xdr:nvSpPr>
      <xdr:spPr>
        <a:xfrm>
          <a:off x="10201275" y="4229100"/>
          <a:ext cx="177800" cy="228600"/>
        </a:xfrm>
        <a:prstGeom prst="ellipse">
          <a:avLst/>
        </a:prstGeom>
        <a:solidFill>
          <a:srgbClr val="23232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0</xdr:colOff>
      <xdr:row>50</xdr:row>
      <xdr:rowOff>0</xdr:rowOff>
    </xdr:from>
    <xdr:to>
      <xdr:col>15</xdr:col>
      <xdr:colOff>0</xdr:colOff>
      <xdr:row>67</xdr:row>
      <xdr:rowOff>0</xdr:rowOff>
    </xdr:to>
    <xdr:graphicFrame macro="">
      <xdr:nvGraphicFramePr>
        <xdr:cNvPr id="21" name="chtV2EvolucaoSaldo">
          <a:extLst>
            <a:ext uri="{FF2B5EF4-FFF2-40B4-BE49-F238E27FC236}">
              <a16:creationId xmlns:a16="http://schemas.microsoft.com/office/drawing/2014/main" id="{3FA79893-5513-8D7B-B8F2-5F3ECA53E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11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2" name="SFE_CENTRO_GRAFICO">
          <a:extLst>
            <a:ext uri="{FF2B5EF4-FFF2-40B4-BE49-F238E27FC236}">
              <a16:creationId xmlns:a16="http://schemas.microsoft.com/office/drawing/2014/main" id="{501FC154-E7EF-18C6-81A4-96C6FBA0F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196215</xdr:colOff>
      <xdr:row>29</xdr:row>
      <xdr:rowOff>91154</xdr:rowOff>
    </xdr:from>
    <xdr:to>
      <xdr:col>6</xdr:col>
      <xdr:colOff>0</xdr:colOff>
      <xdr:row>31</xdr:row>
      <xdr:rowOff>110204</xdr:rowOff>
    </xdr:to>
    <xdr:sp macro="" textlink="">
      <xdr:nvSpPr>
        <xdr:cNvPr id="4" name="SFE_DISTRIBUICAO_TOTAL">
          <a:extLst>
            <a:ext uri="{FF2B5EF4-FFF2-40B4-BE49-F238E27FC236}">
              <a16:creationId xmlns:a16="http://schemas.microsoft.com/office/drawing/2014/main" id="{88ED7061-0CE7-2FBC-1384-F347C0F4AE89}"/>
            </a:ext>
          </a:extLst>
        </xdr:cNvPr>
        <xdr:cNvSpPr txBox="1"/>
      </xdr:nvSpPr>
      <xdr:spPr>
        <a:xfrm>
          <a:off x="2320290" y="8187404"/>
          <a:ext cx="1765935" cy="571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900" b="0">
              <a:solidFill>
                <a:srgbClr val="1F344B"/>
              </a:solidFill>
              <a:latin typeface="Aptos" panose="020B0004020202020204" pitchFamily="34" charset="0"/>
            </a:rPr>
            <a:t>R$ 4.450,00</a:t>
          </a:r>
        </a:p>
        <a:p>
          <a:pPr algn="ctr"/>
          <a:r>
            <a:rPr lang="pt-BR" sz="900" b="0">
              <a:solidFill>
                <a:srgbClr val="1F344B"/>
              </a:solidFill>
              <a:latin typeface="Aptos" panose="020B0004020202020204" pitchFamily="34" charset="0"/>
            </a:rPr>
            <a:t>Total despesas</a:t>
          </a:r>
        </a:p>
      </xdr:txBody>
    </xdr:sp>
    <xdr:clientData/>
  </xdr:twoCellAnchor>
  <xdr:twoCellAnchor>
    <xdr:from>
      <xdr:col>3</xdr:col>
      <xdr:colOff>0</xdr:colOff>
      <xdr:row>25</xdr:row>
      <xdr:rowOff>0</xdr:rowOff>
    </xdr:from>
    <xdr:to>
      <xdr:col>9</xdr:col>
      <xdr:colOff>0</xdr:colOff>
      <xdr:row>35</xdr:row>
      <xdr:rowOff>0</xdr:rowOff>
    </xdr:to>
    <xdr:graphicFrame macro="">
      <xdr:nvGraphicFramePr>
        <xdr:cNvPr id="93" name="chtV2DistribuicaoDespesas">
          <a:extLst>
            <a:ext uri="{FF2B5EF4-FFF2-40B4-BE49-F238E27FC236}">
              <a16:creationId xmlns:a16="http://schemas.microsoft.com/office/drawing/2014/main" id="{D8CB53FE-9511-45A0-7DFB-491963C3E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282575</xdr:colOff>
      <xdr:row>30</xdr:row>
      <xdr:rowOff>206375</xdr:rowOff>
    </xdr:from>
    <xdr:to>
      <xdr:col>6</xdr:col>
      <xdr:colOff>698500</xdr:colOff>
      <xdr:row>32</xdr:row>
      <xdr:rowOff>98425</xdr:rowOff>
    </xdr:to>
    <xdr:sp macro="" textlink="">
      <xdr:nvSpPr>
        <xdr:cNvPr id="94" name="SFE_V2_DISTRIBUICAO_TOTAL">
          <a:extLst>
            <a:ext uri="{FF2B5EF4-FFF2-40B4-BE49-F238E27FC236}">
              <a16:creationId xmlns:a16="http://schemas.microsoft.com/office/drawing/2014/main" id="{30301F4C-1386-100C-25DC-B8E27F4B5255}"/>
            </a:ext>
          </a:extLst>
        </xdr:cNvPr>
        <xdr:cNvSpPr txBox="1"/>
      </xdr:nvSpPr>
      <xdr:spPr>
        <a:xfrm>
          <a:off x="3387725" y="8578850"/>
          <a:ext cx="1397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700">
              <a:solidFill>
                <a:srgbClr val="4B555F"/>
              </a:solidFill>
              <a:latin typeface="Aptos" panose="020B0004020202020204" pitchFamily="34" charset="0"/>
            </a:rPr>
            <a:t>R$ 4.450,00</a:t>
          </a:r>
        </a:p>
        <a:p>
          <a:pPr algn="ctr"/>
          <a:r>
            <a:rPr lang="pt-BR" sz="700">
              <a:solidFill>
                <a:srgbClr val="4B555F"/>
              </a:solidFill>
              <a:latin typeface="Aptos" panose="020B0004020202020204" pitchFamily="34" charset="0"/>
            </a:rPr>
            <a:t>Total despesas</a:t>
          </a:r>
        </a:p>
      </xdr:txBody>
    </xdr:sp>
    <xdr:clientData/>
  </xdr:twoCellAnchor>
  <xdr:twoCellAnchor>
    <xdr:from>
      <xdr:col>9</xdr:col>
      <xdr:colOff>0</xdr:colOff>
      <xdr:row>32</xdr:row>
      <xdr:rowOff>38100</xdr:rowOff>
    </xdr:from>
    <xdr:to>
      <xdr:col>15</xdr:col>
      <xdr:colOff>0</xdr:colOff>
      <xdr:row>32</xdr:row>
      <xdr:rowOff>238125</xdr:rowOff>
    </xdr:to>
    <xdr:sp macro="" textlink="">
      <xdr:nvSpPr>
        <xdr:cNvPr id="95" name="SFE_META_BARRA_FUNDO">
          <a:extLst>
            <a:ext uri="{FF2B5EF4-FFF2-40B4-BE49-F238E27FC236}">
              <a16:creationId xmlns:a16="http://schemas.microsoft.com/office/drawing/2014/main" id="{290645FD-78B5-CD61-FF38-2D41F784BD61}"/>
            </a:ext>
          </a:extLst>
        </xdr:cNvPr>
        <xdr:cNvSpPr/>
      </xdr:nvSpPr>
      <xdr:spPr>
        <a:xfrm>
          <a:off x="7029450" y="8963025"/>
          <a:ext cx="5886450" cy="200025"/>
        </a:xfrm>
        <a:prstGeom prst="roundRect">
          <a:avLst/>
        </a:prstGeom>
        <a:solidFill>
          <a:srgbClr val="E1E6E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0</xdr:colOff>
      <xdr:row>32</xdr:row>
      <xdr:rowOff>38100</xdr:rowOff>
    </xdr:from>
    <xdr:to>
      <xdr:col>10</xdr:col>
      <xdr:colOff>490538</xdr:colOff>
      <xdr:row>32</xdr:row>
      <xdr:rowOff>238125</xdr:rowOff>
    </xdr:to>
    <xdr:sp macro="" textlink="">
      <xdr:nvSpPr>
        <xdr:cNvPr id="96" name="SFE_META_BARRA">
          <a:extLst>
            <a:ext uri="{FF2B5EF4-FFF2-40B4-BE49-F238E27FC236}">
              <a16:creationId xmlns:a16="http://schemas.microsoft.com/office/drawing/2014/main" id="{CC57E063-775E-20A1-55CF-99694D3568D4}"/>
            </a:ext>
          </a:extLst>
        </xdr:cNvPr>
        <xdr:cNvSpPr/>
      </xdr:nvSpPr>
      <xdr:spPr>
        <a:xfrm>
          <a:off x="7029450" y="8963025"/>
          <a:ext cx="1471613" cy="200025"/>
        </a:xfrm>
        <a:prstGeom prst="roundRect">
          <a:avLst/>
        </a:prstGeom>
        <a:solidFill>
          <a:srgbClr val="F1C40F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44</xdr:row>
      <xdr:rowOff>127000</xdr:rowOff>
    </xdr:from>
    <xdr:to>
      <xdr:col>9</xdr:col>
      <xdr:colOff>0</xdr:colOff>
      <xdr:row>44</xdr:row>
      <xdr:rowOff>228600</xdr:rowOff>
    </xdr:to>
    <xdr:sp macro="" textlink="">
      <xdr:nvSpPr>
        <xdr:cNvPr id="97" name="SFE_SAUDE_BARRA_FUNDO">
          <a:extLst>
            <a:ext uri="{FF2B5EF4-FFF2-40B4-BE49-F238E27FC236}">
              <a16:creationId xmlns:a16="http://schemas.microsoft.com/office/drawing/2014/main" id="{39A571A3-CCAC-6971-6790-9DAB1534FF2C}"/>
            </a:ext>
          </a:extLst>
        </xdr:cNvPr>
        <xdr:cNvSpPr/>
      </xdr:nvSpPr>
      <xdr:spPr>
        <a:xfrm>
          <a:off x="4086225" y="12366625"/>
          <a:ext cx="2943225" cy="101600"/>
        </a:xfrm>
        <a:prstGeom prst="roundRect">
          <a:avLst/>
        </a:prstGeom>
        <a:solidFill>
          <a:srgbClr val="E1E6E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0</xdr:colOff>
      <xdr:row>44</xdr:row>
      <xdr:rowOff>127000</xdr:rowOff>
    </xdr:from>
    <xdr:to>
      <xdr:col>7</xdr:col>
      <xdr:colOff>932021</xdr:colOff>
      <xdr:row>44</xdr:row>
      <xdr:rowOff>228600</xdr:rowOff>
    </xdr:to>
    <xdr:sp macro="" textlink="">
      <xdr:nvSpPr>
        <xdr:cNvPr id="98" name="SFE_SAUDE_BARRA">
          <a:extLst>
            <a:ext uri="{FF2B5EF4-FFF2-40B4-BE49-F238E27FC236}">
              <a16:creationId xmlns:a16="http://schemas.microsoft.com/office/drawing/2014/main" id="{7BC5B29C-FA30-5650-F703-B5D38FD62EF8}"/>
            </a:ext>
          </a:extLst>
        </xdr:cNvPr>
        <xdr:cNvSpPr/>
      </xdr:nvSpPr>
      <xdr:spPr>
        <a:xfrm>
          <a:off x="4086225" y="12366625"/>
          <a:ext cx="1913096" cy="1016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38100</xdr:colOff>
      <xdr:row>11</xdr:row>
      <xdr:rowOff>38100</xdr:rowOff>
    </xdr:from>
    <xdr:to>
      <xdr:col>14</xdr:col>
      <xdr:colOff>942975</xdr:colOff>
      <xdr:row>23</xdr:row>
      <xdr:rowOff>238125</xdr:rowOff>
    </xdr:to>
    <xdr:sp macro="" textlink="">
      <xdr:nvSpPr>
        <xdr:cNvPr id="99" name="SFE_V2_PERSONAGEM_FUNDO">
          <a:extLst>
            <a:ext uri="{FF2B5EF4-FFF2-40B4-BE49-F238E27FC236}">
              <a16:creationId xmlns:a16="http://schemas.microsoft.com/office/drawing/2014/main" id="{52E10078-0FE6-F1EB-D4DC-497B2727CE97}"/>
            </a:ext>
          </a:extLst>
        </xdr:cNvPr>
        <xdr:cNvSpPr/>
      </xdr:nvSpPr>
      <xdr:spPr>
        <a:xfrm>
          <a:off x="7067550" y="3162300"/>
          <a:ext cx="5810250" cy="3514725"/>
        </a:xfrm>
        <a:prstGeom prst="roundRect">
          <a:avLst>
            <a:gd name="adj" fmla="val 12000"/>
          </a:avLst>
        </a:prstGeom>
        <a:solidFill>
          <a:srgbClr val="F8FAFC"/>
        </a:solidFill>
        <a:ln w="12700">
          <a:solidFill>
            <a:srgbClr val="DAE1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177800</xdr:colOff>
      <xdr:row>11</xdr:row>
      <xdr:rowOff>127000</xdr:rowOff>
    </xdr:from>
    <xdr:to>
      <xdr:col>10</xdr:col>
      <xdr:colOff>9525</xdr:colOff>
      <xdr:row>12</xdr:row>
      <xdr:rowOff>79375</xdr:rowOff>
    </xdr:to>
    <xdr:sp macro="" textlink="">
      <xdr:nvSpPr>
        <xdr:cNvPr id="100" name="SFE_V2_PERSONAGEM_BADGE">
          <a:extLst>
            <a:ext uri="{FF2B5EF4-FFF2-40B4-BE49-F238E27FC236}">
              <a16:creationId xmlns:a16="http://schemas.microsoft.com/office/drawing/2014/main" id="{362722CF-EC05-4AC8-7EAF-98A52437E34D}"/>
            </a:ext>
          </a:extLst>
        </xdr:cNvPr>
        <xdr:cNvSpPr/>
      </xdr:nvSpPr>
      <xdr:spPr>
        <a:xfrm>
          <a:off x="7207250" y="3251200"/>
          <a:ext cx="812800" cy="228600"/>
        </a:xfrm>
        <a:prstGeom prst="roundRect">
          <a:avLst>
            <a:gd name="adj" fmla="val 20000"/>
          </a:avLst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50" b="1">
              <a:solidFill>
                <a:srgbClr val="FFFFFF"/>
              </a:solidFill>
              <a:latin typeface="Aptos" panose="020B0004020202020204" pitchFamily="34" charset="0"/>
            </a:rPr>
            <a:t>VISÃO GERAL</a:t>
          </a:r>
        </a:p>
      </xdr:txBody>
    </xdr:sp>
    <xdr:clientData/>
  </xdr:twoCellAnchor>
  <xdr:twoCellAnchor>
    <xdr:from>
      <xdr:col>10</xdr:col>
      <xdr:colOff>60325</xdr:colOff>
      <xdr:row>11</xdr:row>
      <xdr:rowOff>114300</xdr:rowOff>
    </xdr:from>
    <xdr:to>
      <xdr:col>14</xdr:col>
      <xdr:colOff>803275</xdr:colOff>
      <xdr:row>12</xdr:row>
      <xdr:rowOff>92075</xdr:rowOff>
    </xdr:to>
    <xdr:sp macro="" textlink="">
      <xdr:nvSpPr>
        <xdr:cNvPr id="101" name="SFE_V2_PERSONAGEM_TITULO">
          <a:extLst>
            <a:ext uri="{FF2B5EF4-FFF2-40B4-BE49-F238E27FC236}">
              <a16:creationId xmlns:a16="http://schemas.microsoft.com/office/drawing/2014/main" id="{CF0B900F-3FCA-6302-2E3B-F3A020FC05DA}"/>
            </a:ext>
          </a:extLst>
        </xdr:cNvPr>
        <xdr:cNvSpPr txBox="1"/>
      </xdr:nvSpPr>
      <xdr:spPr>
        <a:xfrm>
          <a:off x="8070850" y="3238500"/>
          <a:ext cx="466725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r"/>
          <a:r>
            <a:rPr lang="pt-BR" sz="950" b="1">
              <a:solidFill>
                <a:srgbClr val="15273A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9</xdr:col>
      <xdr:colOff>571500</xdr:colOff>
      <xdr:row>12</xdr:row>
      <xdr:rowOff>117475</xdr:rowOff>
    </xdr:from>
    <xdr:to>
      <xdr:col>14</xdr:col>
      <xdr:colOff>409575</xdr:colOff>
      <xdr:row>13</xdr:row>
      <xdr:rowOff>31750</xdr:rowOff>
    </xdr:to>
    <xdr:sp macro="" textlink="">
      <xdr:nvSpPr>
        <xdr:cNvPr id="102" name="SFE_V2_PERSONAGEM_SUBTITULO">
          <a:extLst>
            <a:ext uri="{FF2B5EF4-FFF2-40B4-BE49-F238E27FC236}">
              <a16:creationId xmlns:a16="http://schemas.microsoft.com/office/drawing/2014/main" id="{F5BBF911-FDB6-B513-8655-DCC395C3A6C7}"/>
            </a:ext>
          </a:extLst>
        </xdr:cNvPr>
        <xdr:cNvSpPr txBox="1"/>
      </xdr:nvSpPr>
      <xdr:spPr>
        <a:xfrm>
          <a:off x="7600950" y="3517900"/>
          <a:ext cx="4743450" cy="190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720" i="1">
              <a:solidFill>
                <a:srgbClr val="646E78"/>
              </a:solidFill>
              <a:latin typeface="Aptos" panose="020B0004020202020204" pitchFamily="34" charset="0"/>
            </a:rPr>
            <a:t>Pequenos passos constroem grandes resultados.</a:t>
          </a:r>
        </a:p>
      </xdr:txBody>
    </xdr:sp>
    <xdr:clientData/>
  </xdr:twoCellAnchor>
  <xdr:twoCellAnchor>
    <xdr:from>
      <xdr:col>9</xdr:col>
      <xdr:colOff>317500</xdr:colOff>
      <xdr:row>13</xdr:row>
      <xdr:rowOff>57150</xdr:rowOff>
    </xdr:from>
    <xdr:to>
      <xdr:col>14</xdr:col>
      <xdr:colOff>663575</xdr:colOff>
      <xdr:row>13</xdr:row>
      <xdr:rowOff>69850</xdr:rowOff>
    </xdr:to>
    <xdr:sp macro="" textlink="">
      <xdr:nvSpPr>
        <xdr:cNvPr id="103" name="SFE_V2_PERSONAGEM_SEPARADOR">
          <a:extLst>
            <a:ext uri="{FF2B5EF4-FFF2-40B4-BE49-F238E27FC236}">
              <a16:creationId xmlns:a16="http://schemas.microsoft.com/office/drawing/2014/main" id="{847C11D6-7FA6-273F-7C0E-CA293529BAC8}"/>
            </a:ext>
          </a:extLst>
        </xdr:cNvPr>
        <xdr:cNvSpPr/>
      </xdr:nvSpPr>
      <xdr:spPr>
        <a:xfrm>
          <a:off x="7346950" y="3733800"/>
          <a:ext cx="5251450" cy="12700"/>
        </a:xfrm>
        <a:prstGeom prst="rect">
          <a:avLst/>
        </a:prstGeom>
        <a:solidFill>
          <a:srgbClr val="E1E6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320675</xdr:colOff>
      <xdr:row>12</xdr:row>
      <xdr:rowOff>244475</xdr:rowOff>
    </xdr:from>
    <xdr:to>
      <xdr:col>11</xdr:col>
      <xdr:colOff>727075</xdr:colOff>
      <xdr:row>15</xdr:row>
      <xdr:rowOff>25400</xdr:rowOff>
    </xdr:to>
    <xdr:sp macro="" textlink="">
      <xdr:nvSpPr>
        <xdr:cNvPr id="104" name="SFE_V2_PERSONAGEM_ORELHA_E">
          <a:extLst>
            <a:ext uri="{FF2B5EF4-FFF2-40B4-BE49-F238E27FC236}">
              <a16:creationId xmlns:a16="http://schemas.microsoft.com/office/drawing/2014/main" id="{0A8B9189-B1F0-A28F-0354-728F3FE24ECB}"/>
            </a:ext>
          </a:extLst>
        </xdr:cNvPr>
        <xdr:cNvSpPr/>
      </xdr:nvSpPr>
      <xdr:spPr>
        <a:xfrm rot="-720000">
          <a:off x="9312275" y="3644900"/>
          <a:ext cx="406400" cy="609600"/>
        </a:xfrm>
        <a:prstGeom prst="ellipse">
          <a:avLst/>
        </a:prstGeom>
        <a:solidFill>
          <a:srgbClr val="E8D2B2"/>
        </a:solidFill>
        <a:ln w="10160">
          <a:solidFill>
            <a:srgbClr val="BEA5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254000</xdr:colOff>
      <xdr:row>12</xdr:row>
      <xdr:rowOff>244475</xdr:rowOff>
    </xdr:from>
    <xdr:to>
      <xdr:col>12</xdr:col>
      <xdr:colOff>660400</xdr:colOff>
      <xdr:row>15</xdr:row>
      <xdr:rowOff>25400</xdr:rowOff>
    </xdr:to>
    <xdr:sp macro="" textlink="">
      <xdr:nvSpPr>
        <xdr:cNvPr id="105" name="SFE_V2_PERSONAGEM_ORELHA_D">
          <a:extLst>
            <a:ext uri="{FF2B5EF4-FFF2-40B4-BE49-F238E27FC236}">
              <a16:creationId xmlns:a16="http://schemas.microsoft.com/office/drawing/2014/main" id="{44C4CACC-CD1B-EA3F-8011-E0B96B2EFFAB}"/>
            </a:ext>
          </a:extLst>
        </xdr:cNvPr>
        <xdr:cNvSpPr/>
      </xdr:nvSpPr>
      <xdr:spPr>
        <a:xfrm rot="720000">
          <a:off x="10226675" y="3644900"/>
          <a:ext cx="406400" cy="609600"/>
        </a:xfrm>
        <a:prstGeom prst="ellipse">
          <a:avLst/>
        </a:prstGeom>
        <a:solidFill>
          <a:srgbClr val="E8D2B2"/>
        </a:solidFill>
        <a:ln w="10160">
          <a:solidFill>
            <a:srgbClr val="BEA5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282575</xdr:colOff>
      <xdr:row>13</xdr:row>
      <xdr:rowOff>171450</xdr:rowOff>
    </xdr:from>
    <xdr:to>
      <xdr:col>12</xdr:col>
      <xdr:colOff>698500</xdr:colOff>
      <xdr:row>18</xdr:row>
      <xdr:rowOff>34925</xdr:rowOff>
    </xdr:to>
    <xdr:sp macro="" textlink="">
      <xdr:nvSpPr>
        <xdr:cNvPr id="106" name="SFE_V2_PERSONAGEM_CABECA">
          <a:extLst>
            <a:ext uri="{FF2B5EF4-FFF2-40B4-BE49-F238E27FC236}">
              <a16:creationId xmlns:a16="http://schemas.microsoft.com/office/drawing/2014/main" id="{04844617-4967-655B-823F-41D7B403C8A7}"/>
            </a:ext>
          </a:extLst>
        </xdr:cNvPr>
        <xdr:cNvSpPr/>
      </xdr:nvSpPr>
      <xdr:spPr>
        <a:xfrm>
          <a:off x="9274175" y="3848100"/>
          <a:ext cx="1397000" cy="1244600"/>
        </a:xfrm>
        <a:prstGeom prst="ellipse">
          <a:avLst/>
        </a:prstGeom>
        <a:solidFill>
          <a:srgbClr val="EEDABB"/>
        </a:solidFill>
        <a:ln w="12700">
          <a:solidFill>
            <a:srgbClr val="BEA5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638175</xdr:colOff>
      <xdr:row>15</xdr:row>
      <xdr:rowOff>12700</xdr:rowOff>
    </xdr:from>
    <xdr:to>
      <xdr:col>11</xdr:col>
      <xdr:colOff>790575</xdr:colOff>
      <xdr:row>15</xdr:row>
      <xdr:rowOff>203200</xdr:rowOff>
    </xdr:to>
    <xdr:sp macro="" textlink="">
      <xdr:nvSpPr>
        <xdr:cNvPr id="107" name="SFE_V2_PERSONAGEM_OLHO_E">
          <a:extLst>
            <a:ext uri="{FF2B5EF4-FFF2-40B4-BE49-F238E27FC236}">
              <a16:creationId xmlns:a16="http://schemas.microsoft.com/office/drawing/2014/main" id="{62099389-BAA3-00FD-321A-0AC563C31B7B}"/>
            </a:ext>
          </a:extLst>
        </xdr:cNvPr>
        <xdr:cNvSpPr/>
      </xdr:nvSpPr>
      <xdr:spPr>
        <a:xfrm>
          <a:off x="9629775" y="4241800"/>
          <a:ext cx="152400" cy="190500"/>
        </a:xfrm>
        <a:prstGeom prst="ellipse">
          <a:avLst/>
        </a:prstGeom>
        <a:solidFill>
          <a:srgbClr val="2828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190500</xdr:colOff>
      <xdr:row>15</xdr:row>
      <xdr:rowOff>12700</xdr:rowOff>
    </xdr:from>
    <xdr:to>
      <xdr:col>12</xdr:col>
      <xdr:colOff>342900</xdr:colOff>
      <xdr:row>15</xdr:row>
      <xdr:rowOff>203200</xdr:rowOff>
    </xdr:to>
    <xdr:sp macro="" textlink="">
      <xdr:nvSpPr>
        <xdr:cNvPr id="108" name="SFE_V2_PERSONAGEM_OLHO_D">
          <a:extLst>
            <a:ext uri="{FF2B5EF4-FFF2-40B4-BE49-F238E27FC236}">
              <a16:creationId xmlns:a16="http://schemas.microsoft.com/office/drawing/2014/main" id="{0A728EBE-8E04-354C-EBC8-FF60B87C6404}"/>
            </a:ext>
          </a:extLst>
        </xdr:cNvPr>
        <xdr:cNvSpPr/>
      </xdr:nvSpPr>
      <xdr:spPr>
        <a:xfrm>
          <a:off x="10163175" y="4241800"/>
          <a:ext cx="152400" cy="190500"/>
        </a:xfrm>
        <a:prstGeom prst="ellipse">
          <a:avLst/>
        </a:prstGeom>
        <a:solidFill>
          <a:srgbClr val="2828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917575</xdr:colOff>
      <xdr:row>15</xdr:row>
      <xdr:rowOff>254000</xdr:rowOff>
    </xdr:from>
    <xdr:to>
      <xdr:col>12</xdr:col>
      <xdr:colOff>76200</xdr:colOff>
      <xdr:row>16</xdr:row>
      <xdr:rowOff>92075</xdr:rowOff>
    </xdr:to>
    <xdr:sp macro="" textlink="">
      <xdr:nvSpPr>
        <xdr:cNvPr id="109" name="SFE_V2_PERSONAGEM_NARIZ">
          <a:extLst>
            <a:ext uri="{FF2B5EF4-FFF2-40B4-BE49-F238E27FC236}">
              <a16:creationId xmlns:a16="http://schemas.microsoft.com/office/drawing/2014/main" id="{4698A2D2-F219-7C86-D8C6-218C772FD341}"/>
            </a:ext>
          </a:extLst>
        </xdr:cNvPr>
        <xdr:cNvSpPr/>
      </xdr:nvSpPr>
      <xdr:spPr>
        <a:xfrm rot="10800000">
          <a:off x="9909175" y="4483100"/>
          <a:ext cx="139700" cy="114300"/>
        </a:xfrm>
        <a:prstGeom prst="triangle">
          <a:avLst/>
        </a:prstGeom>
        <a:solidFill>
          <a:srgbClr val="D6686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219075</xdr:colOff>
      <xdr:row>16</xdr:row>
      <xdr:rowOff>79375</xdr:rowOff>
    </xdr:from>
    <xdr:to>
      <xdr:col>12</xdr:col>
      <xdr:colOff>254000</xdr:colOff>
      <xdr:row>18</xdr:row>
      <xdr:rowOff>9525</xdr:rowOff>
    </xdr:to>
    <xdr:sp macro="" textlink="">
      <xdr:nvSpPr>
        <xdr:cNvPr id="110" name="SFE_V2_PERSONAGEM_BOCA">
          <a:extLst>
            <a:ext uri="{FF2B5EF4-FFF2-40B4-BE49-F238E27FC236}">
              <a16:creationId xmlns:a16="http://schemas.microsoft.com/office/drawing/2014/main" id="{80419C4F-F83A-4F8D-E1D9-1C70FB2B6209}"/>
            </a:ext>
          </a:extLst>
        </xdr:cNvPr>
        <xdr:cNvSpPr/>
      </xdr:nvSpPr>
      <xdr:spPr>
        <a:xfrm>
          <a:off x="9210675" y="4584700"/>
          <a:ext cx="1016000" cy="482600"/>
        </a:xfrm>
        <a:prstGeom prst="arc">
          <a:avLst/>
        </a:prstGeom>
        <a:ln w="15240">
          <a:solidFill>
            <a:srgbClr val="50464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279400</xdr:colOff>
      <xdr:row>18</xdr:row>
      <xdr:rowOff>136525</xdr:rowOff>
    </xdr:from>
    <xdr:to>
      <xdr:col>14</xdr:col>
      <xdr:colOff>701675</xdr:colOff>
      <xdr:row>20</xdr:row>
      <xdr:rowOff>41275</xdr:rowOff>
    </xdr:to>
    <xdr:sp macro="" textlink="">
      <xdr:nvSpPr>
        <xdr:cNvPr id="111" name="SFE_V2_PERSONAGEM_MENSAGEM">
          <a:extLst>
            <a:ext uri="{FF2B5EF4-FFF2-40B4-BE49-F238E27FC236}">
              <a16:creationId xmlns:a16="http://schemas.microsoft.com/office/drawing/2014/main" id="{B15C5842-DFB3-1F15-8868-041B8254C706}"/>
            </a:ext>
          </a:extLst>
        </xdr:cNvPr>
        <xdr:cNvSpPr/>
      </xdr:nvSpPr>
      <xdr:spPr>
        <a:xfrm>
          <a:off x="7308850" y="5194300"/>
          <a:ext cx="5327650" cy="457200"/>
        </a:xfrm>
        <a:prstGeom prst="roundRect">
          <a:avLst>
            <a:gd name="adj" fmla="val 15000"/>
          </a:avLst>
        </a:prstGeom>
        <a:solidFill>
          <a:srgbClr val="FFFFFF"/>
        </a:solidFill>
        <a:ln w="10160">
          <a:solidFill>
            <a:srgbClr val="DCE2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50">
              <a:solidFill>
                <a:srgbClr val="37414B"/>
              </a:solidFill>
              <a:latin typeface="Aptos" panose="020B0004020202020204" pitchFamily="34" charset="0"/>
            </a:rPr>
            <a:t>Você está no caminho certo!</a:t>
          </a:r>
        </a:p>
        <a:p>
          <a:pPr algn="ctr"/>
          <a:r>
            <a:rPr lang="pt-BR" sz="750">
              <a:solidFill>
                <a:srgbClr val="37414B"/>
              </a:solidFill>
              <a:latin typeface="Aptos" panose="020B0004020202020204" pitchFamily="34" charset="0"/>
            </a:rPr>
            <a:t>Continue acompanhando suas finanças.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6" totalsRowShown="0">
  <autoFilter ref="A1:K6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topLeftCell="A35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1" width="13.5703125" style="7" customWidth="1"/>
    <col min="2" max="2" width="14.5703125" style="7" customWidth="1"/>
    <col min="3" max="13" width="13.5703125" style="7" customWidth="1"/>
    <col min="14" max="14" width="13.5703125" style="7" hidden="1" customWidth="1"/>
    <col min="15" max="15" width="0" style="8" hidden="1" customWidth="1"/>
    <col min="16" max="16" width="0" style="7" hidden="1" customWidth="1"/>
    <col min="17" max="17" width="11.5703125" style="7" hidden="1" customWidth="1"/>
    <col min="18" max="18" width="0" style="8" hidden="1" customWidth="1"/>
    <col min="19" max="26" width="0" style="7" hidden="1" customWidth="1"/>
    <col min="27" max="16384" width="8.7109375" style="7"/>
  </cols>
  <sheetData>
    <row r="1" spans="1:26" ht="36" customHeight="1" x14ac:dyDescent="0.25">
      <c r="A1" s="105" t="s">
        <v>0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107" t="s">
        <v>97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N2" t="s">
        <v>75</v>
      </c>
      <c r="O2" s="4">
        <v>0</v>
      </c>
      <c r="P2"/>
      <c r="Q2" t="s">
        <v>85</v>
      </c>
      <c r="R2" s="4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4"/>
      <c r="P3"/>
      <c r="Q3" t="s">
        <v>86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111" t="s">
        <v>64</v>
      </c>
      <c r="B4" s="111"/>
      <c r="C4" s="111"/>
      <c r="D4" s="108" t="s">
        <v>65</v>
      </c>
      <c r="E4" s="108"/>
      <c r="F4" s="108"/>
      <c r="G4" s="109" t="s">
        <v>78</v>
      </c>
      <c r="H4" s="109"/>
      <c r="I4" s="109"/>
      <c r="J4" s="110" t="s">
        <v>66</v>
      </c>
      <c r="K4" s="110"/>
      <c r="L4" s="110"/>
      <c r="N4"/>
      <c r="O4" s="4"/>
      <c r="P4"/>
      <c r="Q4" t="s">
        <v>87</v>
      </c>
      <c r="R4" s="4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112">
        <f>SUMIF(Lançamentos!C:C,"Receita",Lançamentos!F:F)</f>
        <v>7200</v>
      </c>
      <c r="B5" s="112"/>
      <c r="C5" s="112"/>
      <c r="D5" s="113">
        <f>SUMIF(Lançamentos!C:C,"Despesa",Lançamentos!F:F)</f>
        <v>4450</v>
      </c>
      <c r="E5" s="113"/>
      <c r="F5" s="113"/>
      <c r="G5" s="114">
        <f t="shared" ref="G5" si="0">B12-B13</f>
        <v>2750</v>
      </c>
      <c r="H5" s="114"/>
      <c r="I5" s="114"/>
      <c r="J5" s="115">
        <f>COUNTA(Lançamentos!B:B)-1</f>
        <v>5</v>
      </c>
      <c r="K5" s="115"/>
      <c r="L5" s="115"/>
      <c r="N5"/>
      <c r="O5" s="4"/>
      <c r="P5"/>
      <c r="Q5" t="s">
        <v>88</v>
      </c>
      <c r="R5" s="4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112"/>
      <c r="B6" s="112"/>
      <c r="C6" s="112"/>
      <c r="D6" s="113"/>
      <c r="E6" s="113"/>
      <c r="F6" s="113"/>
      <c r="G6" s="114"/>
      <c r="H6" s="114"/>
      <c r="I6" s="114"/>
      <c r="J6" s="115"/>
      <c r="K6" s="115"/>
      <c r="L6" s="115"/>
      <c r="N6"/>
      <c r="O6" s="4"/>
      <c r="P6"/>
      <c r="Q6" t="s">
        <v>89</v>
      </c>
      <c r="R6" s="4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N7"/>
      <c r="O7" s="4"/>
      <c r="P7"/>
      <c r="Q7" t="s">
        <v>90</v>
      </c>
      <c r="R7" s="4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4"/>
      <c r="P8"/>
      <c r="Q8" t="s">
        <v>91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16" t="s">
        <v>67</v>
      </c>
      <c r="B9" s="116"/>
      <c r="C9" s="116"/>
      <c r="D9" s="116"/>
      <c r="F9" s="116" t="s">
        <v>72</v>
      </c>
      <c r="G9" s="116"/>
      <c r="H9" s="116"/>
      <c r="I9" s="116"/>
      <c r="J9" s="116"/>
      <c r="K9" s="116"/>
      <c r="L9" s="116"/>
      <c r="N9"/>
      <c r="O9" s="4"/>
      <c r="P9"/>
      <c r="Q9" t="s">
        <v>92</v>
      </c>
      <c r="R9" s="4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24"/>
      <c r="B10" s="24"/>
      <c r="G10" s="24"/>
      <c r="H10" s="24"/>
      <c r="I10" s="24"/>
      <c r="J10" s="24"/>
      <c r="K10" s="24"/>
      <c r="L10" s="24"/>
      <c r="N10"/>
      <c r="O10" s="4"/>
      <c r="P10"/>
      <c r="Q10" t="s">
        <v>93</v>
      </c>
      <c r="R10" s="4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18" t="s">
        <v>73</v>
      </c>
      <c r="B11" s="18" t="s">
        <v>6</v>
      </c>
      <c r="N11"/>
      <c r="O11" s="4"/>
      <c r="P11"/>
      <c r="Q11" t="s">
        <v>94</v>
      </c>
      <c r="R11" s="4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19" t="s">
        <v>68</v>
      </c>
      <c r="B12" s="20">
        <f>SUMIF(Lançamentos!C:C,"Receita",Lançamentos!F:F)</f>
        <v>7200</v>
      </c>
      <c r="N12"/>
      <c r="O12" s="4"/>
      <c r="P12"/>
      <c r="Q12" t="s">
        <v>95</v>
      </c>
      <c r="R12" s="4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19" t="s">
        <v>69</v>
      </c>
      <c r="B13" s="21">
        <f>SUMIF(Lançamentos!C:C,"Despesa",Lançamentos!F:F)</f>
        <v>4450</v>
      </c>
      <c r="N13"/>
      <c r="O13" s="4"/>
      <c r="P13"/>
      <c r="Q13" t="s">
        <v>96</v>
      </c>
      <c r="R13" s="4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19" t="s">
        <v>70</v>
      </c>
      <c r="B14" s="22">
        <f>B12-B13</f>
        <v>2750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19" t="s">
        <v>71</v>
      </c>
      <c r="B15" s="23">
        <f>COUNTA(Lançamentos!B:B)-1</f>
        <v>5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1.95" customHeight="1" x14ac:dyDescent="0.25">
      <c r="A17" s="116" t="s">
        <v>77</v>
      </c>
      <c r="B17" s="116"/>
      <c r="C17" s="116"/>
      <c r="D17" s="116"/>
      <c r="F17" s="117" t="s">
        <v>81</v>
      </c>
      <c r="G17" s="117"/>
      <c r="H17" s="117"/>
      <c r="I17" s="117"/>
      <c r="J17" s="118" t="s">
        <v>79</v>
      </c>
      <c r="K17" s="119"/>
      <c r="L17" s="120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25">
      <c r="A18" s="142" t="s">
        <v>80</v>
      </c>
      <c r="B18" s="142"/>
      <c r="C18" s="142"/>
      <c r="D18" s="142"/>
      <c r="F18" s="13" t="s">
        <v>68</v>
      </c>
      <c r="G18" s="14">
        <v>3600</v>
      </c>
      <c r="H18" s="10"/>
      <c r="I18" s="10"/>
      <c r="J18" s="121"/>
      <c r="K18" s="122"/>
      <c r="L18" s="123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25">
      <c r="A19" s="142"/>
      <c r="B19" s="142"/>
      <c r="C19" s="142"/>
      <c r="D19" s="142"/>
      <c r="F19" s="13" t="s">
        <v>69</v>
      </c>
      <c r="G19" s="14">
        <v>0</v>
      </c>
      <c r="H19" s="10"/>
      <c r="I19" s="10"/>
      <c r="J19" s="124">
        <v>0.95</v>
      </c>
      <c r="K19" s="125"/>
      <c r="L19" s="126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25">
      <c r="A20" s="142"/>
      <c r="B20" s="142"/>
      <c r="C20" s="142"/>
      <c r="D20" s="142"/>
      <c r="F20" s="13" t="s">
        <v>70</v>
      </c>
      <c r="G20" s="14">
        <v>3600</v>
      </c>
      <c r="H20" s="10"/>
      <c r="I20" s="10"/>
      <c r="J20" s="127"/>
      <c r="K20" s="128"/>
      <c r="L20" s="129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25">
      <c r="A21" s="142"/>
      <c r="B21" s="142"/>
      <c r="C21" s="142"/>
      <c r="D21" s="142"/>
      <c r="F21" s="13" t="s">
        <v>82</v>
      </c>
      <c r="G21" s="15">
        <v>1</v>
      </c>
      <c r="H21" s="10"/>
      <c r="I21" s="10"/>
      <c r="J21" s="130"/>
      <c r="K21" s="131"/>
      <c r="L21" s="132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1.95" customHeight="1" x14ac:dyDescent="0.25">
      <c r="A22" s="142"/>
      <c r="B22" s="142"/>
      <c r="C22" s="142"/>
      <c r="D22" s="142"/>
      <c r="F22" s="10"/>
      <c r="G22" s="10"/>
      <c r="H22" s="10"/>
      <c r="I22" s="10"/>
      <c r="J22" s="133" t="s">
        <v>83</v>
      </c>
      <c r="K22" s="134"/>
      <c r="L22" s="135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25">
      <c r="A23" s="142"/>
      <c r="B23" s="142"/>
      <c r="C23" s="142"/>
      <c r="D23" s="142"/>
      <c r="F23" s="10"/>
      <c r="G23" s="10"/>
      <c r="H23" s="10"/>
      <c r="I23" s="10"/>
      <c r="J23" s="136" t="s">
        <v>84</v>
      </c>
      <c r="K23" s="137"/>
      <c r="L23" s="138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25">
      <c r="A24" s="142"/>
      <c r="B24" s="142"/>
      <c r="C24" s="142"/>
      <c r="D24" s="142"/>
      <c r="F24" s="10"/>
      <c r="G24" s="10"/>
      <c r="H24" s="10"/>
      <c r="I24" s="10"/>
      <c r="J24" s="139"/>
      <c r="K24" s="140"/>
      <c r="L24" s="141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25">
      <c r="A27" s="117" t="s">
        <v>74</v>
      </c>
      <c r="B27" s="117"/>
      <c r="C27" s="117"/>
      <c r="D27" s="117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6" t="s">
        <v>4</v>
      </c>
      <c r="B28" s="16" t="s">
        <v>6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AZ99"/>
  <sheetViews>
    <sheetView showGridLines="0" tabSelected="1" topLeftCell="A79" zoomScale="70" zoomScaleNormal="70" workbookViewId="0">
      <selection activeCell="D5" sqref="D5:F5"/>
    </sheetView>
  </sheetViews>
  <sheetFormatPr defaultColWidth="0" defaultRowHeight="13.5" x14ac:dyDescent="0.25"/>
  <cols>
    <col min="1" max="3" width="5.7109375" style="25" customWidth="1"/>
    <col min="4" max="15" width="14.7109375" style="25" customWidth="1"/>
    <col min="16" max="16" width="13.140625" style="25" hidden="1"/>
    <col min="17" max="52" width="0" style="25" hidden="1"/>
    <col min="53" max="16384" width="9.140625" style="25" hidden="1"/>
  </cols>
  <sheetData>
    <row r="1" spans="1:28" ht="26.1" customHeight="1" x14ac:dyDescent="0.25">
      <c r="A1" s="196"/>
      <c r="B1" s="196"/>
      <c r="C1" s="196"/>
      <c r="D1" s="193" t="s">
        <v>120</v>
      </c>
      <c r="E1" s="193"/>
      <c r="F1" s="193"/>
      <c r="G1" s="193"/>
      <c r="H1" s="193"/>
      <c r="I1" s="193"/>
      <c r="J1" s="194" t="s">
        <v>136</v>
      </c>
      <c r="K1" s="194"/>
      <c r="L1" s="194"/>
      <c r="M1" s="195" t="s">
        <v>137</v>
      </c>
      <c r="N1" s="195"/>
      <c r="O1" s="195"/>
      <c r="Q1" s="25" t="s">
        <v>4</v>
      </c>
      <c r="R1" s="25" t="s">
        <v>6</v>
      </c>
      <c r="AA1" s="25" t="s">
        <v>4</v>
      </c>
      <c r="AB1" s="25" t="s">
        <v>6</v>
      </c>
    </row>
    <row r="2" spans="1:28" ht="26.1" customHeight="1" x14ac:dyDescent="0.25">
      <c r="A2" s="197" t="s">
        <v>121</v>
      </c>
      <c r="B2" s="198"/>
      <c r="C2" s="198"/>
      <c r="D2" s="187"/>
      <c r="E2" s="187"/>
      <c r="F2" s="187"/>
      <c r="G2" s="187"/>
      <c r="H2" s="187"/>
      <c r="I2" s="187"/>
      <c r="J2" s="188"/>
      <c r="K2" s="188"/>
      <c r="L2" s="188"/>
      <c r="M2" s="189"/>
      <c r="N2" s="189"/>
      <c r="O2" s="189"/>
      <c r="P2" s="27"/>
      <c r="Q2" s="27" t="s">
        <v>21</v>
      </c>
      <c r="R2" s="25">
        <v>300</v>
      </c>
      <c r="AA2" s="25" t="s">
        <v>21</v>
      </c>
      <c r="AB2" s="25">
        <v>4000</v>
      </c>
    </row>
    <row r="3" spans="1:28" ht="26.1" customHeight="1" thickBot="1" x14ac:dyDescent="0.3">
      <c r="A3" s="198"/>
      <c r="B3" s="198"/>
      <c r="C3" s="198"/>
      <c r="D3" s="190"/>
      <c r="E3" s="190"/>
      <c r="F3" s="190"/>
      <c r="G3" s="190"/>
      <c r="H3" s="190"/>
      <c r="I3" s="190"/>
      <c r="J3" s="191"/>
      <c r="K3" s="191"/>
      <c r="L3" s="191"/>
      <c r="M3" s="192"/>
      <c r="N3" s="192"/>
      <c r="O3" s="192"/>
      <c r="P3" s="27"/>
      <c r="Q3" s="27" t="s">
        <v>28</v>
      </c>
      <c r="R3" s="25">
        <v>200</v>
      </c>
      <c r="AA3" s="25" t="s">
        <v>28</v>
      </c>
      <c r="AB3" s="25">
        <v>200</v>
      </c>
    </row>
    <row r="4" spans="1:28" ht="18" customHeight="1" x14ac:dyDescent="0.25">
      <c r="A4" s="198"/>
      <c r="B4" s="198"/>
      <c r="C4" s="198"/>
      <c r="D4" s="34" t="s">
        <v>98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27"/>
      <c r="Q4" s="27" t="s">
        <v>24</v>
      </c>
      <c r="R4" s="25">
        <v>250</v>
      </c>
      <c r="AA4" s="25" t="s">
        <v>24</v>
      </c>
      <c r="AB4" s="25">
        <v>250</v>
      </c>
    </row>
    <row r="5" spans="1:28" ht="24" customHeight="1" x14ac:dyDescent="0.25">
      <c r="A5" s="196"/>
      <c r="B5" s="196"/>
      <c r="C5" s="196"/>
      <c r="D5" s="207" t="s">
        <v>64</v>
      </c>
      <c r="E5" s="207"/>
      <c r="F5" s="209"/>
      <c r="G5" s="211" t="s">
        <v>65</v>
      </c>
      <c r="H5" s="211"/>
      <c r="I5" s="213"/>
      <c r="J5" s="215" t="s">
        <v>78</v>
      </c>
      <c r="K5" s="215"/>
      <c r="L5" s="217"/>
      <c r="M5" s="219" t="s">
        <v>66</v>
      </c>
      <c r="N5" s="219"/>
      <c r="O5" s="219"/>
      <c r="P5" s="27"/>
      <c r="Q5" s="27"/>
    </row>
    <row r="6" spans="1:28" ht="24" customHeight="1" x14ac:dyDescent="0.25">
      <c r="A6" s="92" t="s">
        <v>138</v>
      </c>
      <c r="B6" s="92"/>
      <c r="C6" s="200"/>
      <c r="D6" s="206">
        <f>SUMIFS(Lançamentos!F:F,Lançamentos!C:C,"Receita")</f>
        <v>7200</v>
      </c>
      <c r="E6" s="206"/>
      <c r="F6" s="206"/>
      <c r="G6" s="210">
        <f>SUMIFS(Lançamentos!F:F,Lançamentos!C:C,"Despesa")</f>
        <v>4450</v>
      </c>
      <c r="H6" s="210"/>
      <c r="I6" s="210"/>
      <c r="J6" s="214">
        <f>SUMIFS(Lançamentos!F:F,Lançamentos!C:C,"Receita")-SUMIFS(Lançamentos!F:F,Lançamentos!C:C,"Despesa")</f>
        <v>2750</v>
      </c>
      <c r="K6" s="214"/>
      <c r="L6" s="214"/>
      <c r="M6" s="218">
        <f>COUNTA(Lançamentos!B:B)-1</f>
        <v>5</v>
      </c>
      <c r="N6" s="218"/>
      <c r="O6" s="218"/>
      <c r="P6" s="27"/>
      <c r="Q6" s="27"/>
    </row>
    <row r="7" spans="1:28" ht="24" customHeight="1" x14ac:dyDescent="0.25">
      <c r="A7" s="92"/>
      <c r="B7" s="92"/>
      <c r="C7" s="200"/>
      <c r="D7" s="205"/>
      <c r="E7" s="205"/>
      <c r="F7" s="205"/>
      <c r="G7" s="208"/>
      <c r="H7" s="208"/>
      <c r="I7" s="208"/>
      <c r="J7" s="212"/>
      <c r="K7" s="212"/>
      <c r="L7" s="212"/>
      <c r="M7" s="216"/>
      <c r="N7" s="216"/>
      <c r="O7" s="216"/>
      <c r="P7" s="27"/>
      <c r="Q7" s="27"/>
    </row>
    <row r="8" spans="1:28" ht="24" customHeight="1" x14ac:dyDescent="0.25">
      <c r="A8" s="196"/>
      <c r="B8" s="196"/>
      <c r="C8" s="196"/>
      <c r="D8" s="205"/>
      <c r="E8" s="205"/>
      <c r="F8" s="205"/>
      <c r="G8" s="208"/>
      <c r="H8" s="208"/>
      <c r="I8" s="208"/>
      <c r="J8" s="212"/>
      <c r="K8" s="212"/>
      <c r="L8" s="212"/>
      <c r="M8" s="216"/>
      <c r="N8" s="216"/>
      <c r="O8" s="216"/>
      <c r="P8" s="27"/>
      <c r="Q8" s="27"/>
    </row>
    <row r="9" spans="1:28" ht="24" customHeight="1" x14ac:dyDescent="0.25">
      <c r="A9" s="199" t="s">
        <v>71</v>
      </c>
      <c r="B9" s="199"/>
      <c r="C9" s="199"/>
      <c r="D9" s="205"/>
      <c r="E9" s="205"/>
      <c r="F9" s="205"/>
      <c r="G9" s="208"/>
      <c r="H9" s="208"/>
      <c r="I9" s="208"/>
      <c r="J9" s="212"/>
      <c r="K9" s="212"/>
      <c r="L9" s="212"/>
      <c r="M9" s="216"/>
      <c r="N9" s="216"/>
      <c r="O9" s="216"/>
      <c r="P9" s="27"/>
      <c r="Q9" s="27"/>
    </row>
    <row r="10" spans="1:28" ht="9.9499999999999993" customHeight="1" x14ac:dyDescent="0.25">
      <c r="A10" s="199"/>
      <c r="B10" s="199"/>
      <c r="C10" s="199"/>
      <c r="P10" s="27"/>
      <c r="Q10" s="27"/>
    </row>
    <row r="11" spans="1:28" ht="21.95" customHeight="1" x14ac:dyDescent="0.25">
      <c r="A11" s="196"/>
      <c r="B11" s="196"/>
      <c r="C11" s="196"/>
      <c r="P11" s="27"/>
      <c r="Q11" s="27"/>
    </row>
    <row r="12" spans="1:28" ht="21.95" customHeight="1" x14ac:dyDescent="0.25">
      <c r="A12" s="199" t="s">
        <v>68</v>
      </c>
      <c r="B12" s="199"/>
      <c r="C12" s="201"/>
      <c r="D12" s="29" t="s">
        <v>99</v>
      </c>
      <c r="E12" s="30"/>
      <c r="F12" s="30"/>
      <c r="G12" s="30"/>
      <c r="H12" s="30"/>
      <c r="I12" s="35"/>
      <c r="J12" s="28" t="s">
        <v>100</v>
      </c>
      <c r="K12" s="28"/>
      <c r="L12" s="28"/>
      <c r="M12" s="28"/>
      <c r="N12" s="28"/>
      <c r="O12" s="28"/>
      <c r="P12" s="27"/>
      <c r="Q12" s="27"/>
    </row>
    <row r="13" spans="1:28" ht="21.95" customHeight="1" x14ac:dyDescent="0.25">
      <c r="A13" s="199"/>
      <c r="B13" s="199"/>
      <c r="C13" s="201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7"/>
      <c r="Q13" s="27"/>
    </row>
    <row r="14" spans="1:28" ht="21.95" customHeight="1" x14ac:dyDescent="0.25">
      <c r="A14" s="196"/>
      <c r="B14" s="196"/>
      <c r="C14" s="196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7"/>
      <c r="Q14" s="27"/>
    </row>
    <row r="15" spans="1:28" ht="21.95" customHeight="1" x14ac:dyDescent="0.25">
      <c r="A15" s="199" t="s">
        <v>69</v>
      </c>
      <c r="B15" s="199"/>
      <c r="C15" s="201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7"/>
      <c r="Q15" s="27"/>
    </row>
    <row r="16" spans="1:28" ht="21.95" customHeight="1" x14ac:dyDescent="0.25">
      <c r="A16" s="199"/>
      <c r="B16" s="199"/>
      <c r="C16" s="201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7"/>
      <c r="Q16" s="27"/>
    </row>
    <row r="17" spans="1:17" ht="21.95" customHeight="1" x14ac:dyDescent="0.25">
      <c r="A17" s="196"/>
      <c r="B17" s="196"/>
      <c r="C17" s="196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7"/>
      <c r="Q17" s="27"/>
    </row>
    <row r="18" spans="1:17" ht="21.95" customHeight="1" x14ac:dyDescent="0.25">
      <c r="A18" s="199" t="s">
        <v>139</v>
      </c>
      <c r="B18" s="199"/>
      <c r="C18" s="201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7"/>
      <c r="Q18" s="27"/>
    </row>
    <row r="19" spans="1:17" ht="21.95" customHeight="1" x14ac:dyDescent="0.25">
      <c r="A19" s="199"/>
      <c r="B19" s="199"/>
      <c r="C19" s="201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7"/>
      <c r="Q19" s="27"/>
    </row>
    <row r="20" spans="1:17" ht="21.95" customHeight="1" x14ac:dyDescent="0.25">
      <c r="A20" s="196"/>
      <c r="B20" s="196"/>
      <c r="C20" s="196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7"/>
      <c r="Q20" s="27"/>
    </row>
    <row r="21" spans="1:17" ht="21.95" customHeight="1" x14ac:dyDescent="0.25">
      <c r="A21" s="199" t="s">
        <v>140</v>
      </c>
      <c r="B21" s="199"/>
      <c r="C21" s="201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7"/>
      <c r="Q21" s="27"/>
    </row>
    <row r="22" spans="1:17" ht="21.95" customHeight="1" x14ac:dyDescent="0.25">
      <c r="A22" s="199"/>
      <c r="B22" s="199"/>
      <c r="C22" s="201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7"/>
      <c r="Q22" s="27"/>
    </row>
    <row r="23" spans="1:17" ht="21.95" customHeight="1" x14ac:dyDescent="0.25">
      <c r="A23" s="196"/>
      <c r="B23" s="196"/>
      <c r="C23" s="196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7"/>
      <c r="Q23" s="27"/>
    </row>
    <row r="24" spans="1:17" ht="21.95" customHeight="1" x14ac:dyDescent="0.25">
      <c r="A24" s="199" t="s">
        <v>141</v>
      </c>
      <c r="B24" s="199"/>
      <c r="C24" s="199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7"/>
      <c r="Q24" s="27"/>
    </row>
    <row r="25" spans="1:17" ht="21.95" customHeight="1" x14ac:dyDescent="0.25">
      <c r="A25" s="199"/>
      <c r="B25" s="199"/>
      <c r="C25" s="199"/>
      <c r="P25" s="27"/>
      <c r="Q25" s="27"/>
    </row>
    <row r="26" spans="1:17" ht="21.95" customHeight="1" x14ac:dyDescent="0.25">
      <c r="A26" s="196"/>
      <c r="B26" s="196"/>
      <c r="C26" s="196"/>
      <c r="D26" s="185" t="s">
        <v>74</v>
      </c>
      <c r="E26" s="185"/>
      <c r="F26" s="185"/>
      <c r="G26" s="185"/>
      <c r="H26" s="185"/>
      <c r="I26" s="186"/>
      <c r="J26" s="93" t="s">
        <v>108</v>
      </c>
      <c r="K26" s="94"/>
      <c r="L26" s="94"/>
      <c r="M26" s="94"/>
      <c r="N26" s="94"/>
      <c r="O26" s="95"/>
      <c r="P26" s="27"/>
      <c r="Q26" s="27"/>
    </row>
    <row r="27" spans="1:17" ht="21.95" customHeight="1" x14ac:dyDescent="0.25">
      <c r="A27" s="196"/>
      <c r="B27" s="196"/>
      <c r="C27" s="196"/>
      <c r="D27" s="37"/>
      <c r="E27" s="37"/>
      <c r="F27" s="37"/>
      <c r="G27" s="37"/>
      <c r="H27" s="38"/>
      <c r="I27" s="39"/>
      <c r="J27" s="40"/>
      <c r="K27" s="40"/>
      <c r="L27" s="40"/>
      <c r="M27" s="40"/>
      <c r="N27" s="40"/>
      <c r="O27" s="40"/>
      <c r="P27" s="27"/>
      <c r="Q27" s="27"/>
    </row>
    <row r="28" spans="1:17" ht="21.95" customHeight="1" x14ac:dyDescent="0.25">
      <c r="A28" s="196"/>
      <c r="B28" s="196"/>
      <c r="C28" s="196"/>
      <c r="D28" s="31"/>
      <c r="E28" s="31"/>
      <c r="F28" s="31"/>
      <c r="G28" s="31"/>
      <c r="H28" s="32"/>
      <c r="I28" s="33" t="s">
        <v>105</v>
      </c>
      <c r="J28" s="96" t="s">
        <v>105</v>
      </c>
      <c r="K28" s="97"/>
      <c r="L28" s="97"/>
      <c r="M28" s="97"/>
      <c r="N28" s="97"/>
      <c r="O28" s="98"/>
      <c r="P28" s="27"/>
      <c r="Q28" s="27"/>
    </row>
    <row r="29" spans="1:17" ht="21.95" customHeight="1" x14ac:dyDescent="0.25">
      <c r="A29" s="196"/>
      <c r="B29" s="196"/>
      <c r="C29" s="196"/>
      <c r="D29" s="31"/>
      <c r="E29" s="31"/>
      <c r="F29" s="31"/>
      <c r="G29" s="31"/>
      <c r="H29" s="32"/>
      <c r="I29" s="33" t="s">
        <v>4</v>
      </c>
      <c r="J29" s="45" t="s">
        <v>4</v>
      </c>
      <c r="K29" s="46"/>
      <c r="L29" s="47"/>
      <c r="M29" s="99" t="s">
        <v>82</v>
      </c>
      <c r="N29" s="100"/>
      <c r="O29" s="101"/>
      <c r="P29" s="27"/>
      <c r="Q29" s="27"/>
    </row>
    <row r="30" spans="1:17" ht="21.95" customHeight="1" x14ac:dyDescent="0.25">
      <c r="A30" s="196"/>
      <c r="B30" s="196"/>
      <c r="C30" s="196"/>
      <c r="D30" s="31"/>
      <c r="E30" s="31"/>
      <c r="F30" s="31"/>
      <c r="G30" s="31"/>
      <c r="H30" s="32"/>
      <c r="I30" s="33" t="s">
        <v>109</v>
      </c>
      <c r="J30" s="45" t="s">
        <v>109</v>
      </c>
      <c r="K30" s="46"/>
      <c r="L30" s="47"/>
      <c r="M30" s="221">
        <v>10000</v>
      </c>
      <c r="N30" s="222"/>
      <c r="O30" s="223"/>
      <c r="P30" s="27"/>
      <c r="Q30" s="27"/>
    </row>
    <row r="31" spans="1:17" ht="21.95" customHeight="1" x14ac:dyDescent="0.25">
      <c r="A31" s="196"/>
      <c r="B31" s="196"/>
      <c r="C31" s="196"/>
      <c r="D31" s="31"/>
      <c r="E31" s="31"/>
      <c r="F31" s="31"/>
      <c r="G31" s="31"/>
      <c r="H31" s="32"/>
      <c r="I31" s="33" t="s">
        <v>110</v>
      </c>
      <c r="J31" s="45" t="s">
        <v>110</v>
      </c>
      <c r="K31" s="46"/>
      <c r="L31" s="47"/>
      <c r="M31" s="224">
        <v>2500</v>
      </c>
      <c r="N31" s="225"/>
      <c r="O31" s="226"/>
      <c r="P31" s="27"/>
      <c r="Q31" s="27"/>
    </row>
    <row r="32" spans="1:17" ht="21.95" customHeight="1" x14ac:dyDescent="0.25">
      <c r="A32" s="196"/>
      <c r="B32" s="196"/>
      <c r="C32" s="196"/>
      <c r="D32" s="31"/>
      <c r="E32" s="31"/>
      <c r="F32" s="31"/>
      <c r="G32" s="31"/>
      <c r="H32" s="32"/>
      <c r="I32" s="33" t="s">
        <v>111</v>
      </c>
      <c r="J32" s="45" t="s">
        <v>111</v>
      </c>
      <c r="K32" s="46"/>
      <c r="L32" s="47"/>
      <c r="M32" s="48">
        <v>0.25</v>
      </c>
      <c r="N32" s="49"/>
      <c r="O32" s="50"/>
      <c r="P32" s="27"/>
      <c r="Q32" s="27"/>
    </row>
    <row r="33" spans="1:17" ht="21.95" customHeight="1" x14ac:dyDescent="0.25">
      <c r="A33" s="196"/>
      <c r="B33" s="196"/>
      <c r="C33" s="196"/>
      <c r="D33" s="31"/>
      <c r="E33" s="31"/>
      <c r="F33" s="31"/>
      <c r="G33" s="31"/>
      <c r="H33" s="32"/>
      <c r="I33" s="33" t="s">
        <v>114</v>
      </c>
      <c r="J33" s="40"/>
      <c r="K33" s="40"/>
      <c r="L33" s="40"/>
      <c r="M33" s="40"/>
      <c r="N33" s="40"/>
      <c r="O33" s="40"/>
      <c r="P33" s="27"/>
      <c r="Q33" s="27"/>
    </row>
    <row r="34" spans="1:17" ht="21.95" customHeight="1" x14ac:dyDescent="0.25">
      <c r="A34" s="196"/>
      <c r="B34" s="196"/>
      <c r="C34" s="196"/>
      <c r="D34" s="31"/>
      <c r="E34" s="31"/>
      <c r="F34" s="31"/>
      <c r="G34" s="31"/>
      <c r="H34" s="32"/>
      <c r="I34" s="33" t="s">
        <v>112</v>
      </c>
      <c r="J34" s="45" t="s">
        <v>112</v>
      </c>
      <c r="K34" s="46"/>
      <c r="L34" s="47"/>
      <c r="M34" s="51" t="s">
        <v>113</v>
      </c>
      <c r="N34" s="52"/>
      <c r="O34" s="53"/>
      <c r="P34" s="27"/>
      <c r="Q34" s="27"/>
    </row>
    <row r="35" spans="1:17" ht="21.95" customHeight="1" x14ac:dyDescent="0.25">
      <c r="A35" s="196"/>
      <c r="B35" s="196"/>
      <c r="C35" s="196"/>
      <c r="D35" s="31"/>
      <c r="E35" s="31"/>
      <c r="F35" s="31"/>
      <c r="G35" s="31"/>
      <c r="H35" s="32"/>
      <c r="I35" s="33" t="s">
        <v>9</v>
      </c>
      <c r="J35" s="102" t="s">
        <v>107</v>
      </c>
      <c r="K35" s="103"/>
      <c r="L35" s="103"/>
      <c r="M35" s="103"/>
      <c r="N35" s="103"/>
      <c r="O35" s="104"/>
      <c r="P35" s="27"/>
      <c r="Q35" s="27"/>
    </row>
    <row r="36" spans="1:17" ht="21.95" customHeight="1" x14ac:dyDescent="0.25">
      <c r="A36" s="196"/>
      <c r="B36" s="196"/>
      <c r="C36" s="196"/>
      <c r="P36" s="27"/>
      <c r="Q36" s="27"/>
    </row>
    <row r="37" spans="1:17" ht="21.95" customHeight="1" x14ac:dyDescent="0.25">
      <c r="A37" s="196"/>
      <c r="B37" s="196"/>
      <c r="C37" s="196"/>
      <c r="P37" s="27"/>
      <c r="Q37" s="27"/>
    </row>
    <row r="38" spans="1:17" ht="21.95" customHeight="1" thickBot="1" x14ac:dyDescent="0.3">
      <c r="A38" s="196"/>
      <c r="B38" s="196"/>
      <c r="C38" s="196"/>
      <c r="D38" s="54" t="s">
        <v>79</v>
      </c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6"/>
      <c r="P38" s="27"/>
      <c r="Q38" s="27"/>
    </row>
    <row r="39" spans="1:17" ht="21.95" customHeight="1" x14ac:dyDescent="0.25">
      <c r="A39" s="196"/>
      <c r="B39" s="196"/>
      <c r="C39" s="196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27"/>
      <c r="Q39" s="27"/>
    </row>
    <row r="40" spans="1:17" ht="21.95" customHeight="1" x14ac:dyDescent="0.25">
      <c r="A40" s="196"/>
      <c r="B40" s="196"/>
      <c r="C40" s="196"/>
      <c r="D40" s="57" t="s">
        <v>123</v>
      </c>
      <c r="E40" s="58"/>
      <c r="F40" s="59"/>
      <c r="G40" s="57" t="s">
        <v>124</v>
      </c>
      <c r="H40" s="58"/>
      <c r="I40" s="59"/>
      <c r="J40" s="57" t="s">
        <v>115</v>
      </c>
      <c r="K40" s="58"/>
      <c r="L40" s="58"/>
      <c r="M40" s="58"/>
      <c r="N40" s="58"/>
      <c r="O40" s="59"/>
      <c r="P40" s="27"/>
      <c r="Q40" s="27"/>
    </row>
    <row r="41" spans="1:17" ht="21.95" customHeight="1" x14ac:dyDescent="0.25">
      <c r="A41" s="196"/>
      <c r="B41" s="196"/>
      <c r="C41" s="196"/>
      <c r="D41" s="60">
        <v>65</v>
      </c>
      <c r="E41" s="61"/>
      <c r="F41" s="62"/>
      <c r="G41" s="68" t="s">
        <v>126</v>
      </c>
      <c r="H41" s="69"/>
      <c r="I41" s="70"/>
      <c r="J41" s="76">
        <v>0.61805555555555558</v>
      </c>
      <c r="K41" s="77"/>
      <c r="L41" s="77"/>
      <c r="M41" s="77"/>
      <c r="N41" s="77"/>
      <c r="O41" s="78"/>
      <c r="P41" s="27"/>
      <c r="Q41" s="27"/>
    </row>
    <row r="42" spans="1:17" ht="21.95" customHeight="1" x14ac:dyDescent="0.25">
      <c r="A42" s="196"/>
      <c r="B42" s="196"/>
      <c r="C42" s="196"/>
      <c r="D42" s="63"/>
      <c r="E42" s="227"/>
      <c r="F42" s="64"/>
      <c r="G42" s="71"/>
      <c r="H42" s="228"/>
      <c r="I42" s="72"/>
      <c r="J42" s="79"/>
      <c r="K42" s="229"/>
      <c r="L42" s="229"/>
      <c r="M42" s="229"/>
      <c r="N42" s="229"/>
      <c r="O42" s="80"/>
      <c r="P42" s="27"/>
      <c r="Q42" s="27"/>
    </row>
    <row r="43" spans="1:17" ht="21.95" customHeight="1" x14ac:dyDescent="0.25">
      <c r="A43" s="196"/>
      <c r="B43" s="196"/>
      <c r="C43" s="196"/>
      <c r="D43" s="65"/>
      <c r="E43" s="66"/>
      <c r="F43" s="67"/>
      <c r="G43" s="73"/>
      <c r="H43" s="74"/>
      <c r="I43" s="75"/>
      <c r="J43" s="81"/>
      <c r="K43" s="82"/>
      <c r="L43" s="82"/>
      <c r="M43" s="82"/>
      <c r="N43" s="82"/>
      <c r="O43" s="83"/>
      <c r="P43" s="27"/>
      <c r="Q43" s="27"/>
    </row>
    <row r="44" spans="1:17" ht="21.95" customHeight="1" x14ac:dyDescent="0.25">
      <c r="A44" s="196"/>
      <c r="B44" s="196"/>
      <c r="C44" s="196"/>
      <c r="D44" s="57" t="s">
        <v>116</v>
      </c>
      <c r="E44" s="58"/>
      <c r="F44" s="59"/>
      <c r="G44" s="40"/>
      <c r="H44" s="40"/>
      <c r="I44" s="40"/>
      <c r="J44" s="84" t="s">
        <v>127</v>
      </c>
      <c r="K44" s="85"/>
      <c r="L44" s="85"/>
      <c r="M44" s="85"/>
      <c r="N44" s="85"/>
      <c r="O44" s="86"/>
      <c r="P44" s="27"/>
      <c r="Q44" s="27"/>
    </row>
    <row r="45" spans="1:17" ht="21.95" customHeight="1" x14ac:dyDescent="0.25">
      <c r="A45" s="196"/>
      <c r="B45" s="196"/>
      <c r="C45" s="196"/>
      <c r="D45" s="230">
        <v>2750</v>
      </c>
      <c r="E45" s="231"/>
      <c r="F45" s="232"/>
      <c r="G45" s="40"/>
      <c r="H45" s="40"/>
      <c r="I45" s="40"/>
      <c r="J45" s="87"/>
      <c r="K45" s="236"/>
      <c r="L45" s="236"/>
      <c r="M45" s="236"/>
      <c r="N45" s="236"/>
      <c r="O45" s="88"/>
      <c r="P45" s="27"/>
      <c r="Q45" s="27"/>
    </row>
    <row r="46" spans="1:17" ht="21.95" customHeight="1" x14ac:dyDescent="0.25">
      <c r="A46" s="196"/>
      <c r="B46" s="196"/>
      <c r="C46" s="196"/>
      <c r="D46" s="233"/>
      <c r="E46" s="234"/>
      <c r="F46" s="235"/>
      <c r="G46" s="40"/>
      <c r="H46" s="40"/>
      <c r="I46" s="40"/>
      <c r="J46" s="89"/>
      <c r="K46" s="90"/>
      <c r="L46" s="90"/>
      <c r="M46" s="90"/>
      <c r="N46" s="90"/>
      <c r="O46" s="91"/>
      <c r="P46" s="27"/>
      <c r="Q46" s="27"/>
    </row>
    <row r="47" spans="1:17" ht="21.95" customHeight="1" x14ac:dyDescent="0.25">
      <c r="A47" s="196"/>
      <c r="B47" s="196"/>
      <c r="C47" s="196"/>
      <c r="D47" s="42" t="s">
        <v>125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  <c r="P47" s="27"/>
      <c r="Q47" s="27"/>
    </row>
    <row r="48" spans="1:17" ht="21.95" customHeight="1" x14ac:dyDescent="0.25">
      <c r="A48" s="196"/>
      <c r="B48" s="196"/>
      <c r="C48" s="196"/>
      <c r="P48" s="27"/>
      <c r="Q48" s="27"/>
    </row>
    <row r="49" spans="1:17" ht="21.95" customHeight="1" x14ac:dyDescent="0.25">
      <c r="A49" s="196"/>
      <c r="B49" s="196"/>
      <c r="C49" s="196"/>
      <c r="P49" s="27"/>
      <c r="Q49" s="27"/>
    </row>
    <row r="50" spans="1:17" ht="21.95" customHeight="1" x14ac:dyDescent="0.25">
      <c r="A50" s="196"/>
      <c r="B50" s="196"/>
      <c r="C50" s="196"/>
      <c r="D50" s="36" t="s">
        <v>117</v>
      </c>
      <c r="E50" s="36"/>
      <c r="F50" s="36"/>
      <c r="G50" s="36"/>
      <c r="H50" s="36"/>
      <c r="I50" s="36"/>
      <c r="J50" s="36"/>
      <c r="K50" s="36"/>
      <c r="L50" s="36"/>
      <c r="M50" s="36"/>
      <c r="N50" s="36"/>
      <c r="P50" s="27" t="s">
        <v>76</v>
      </c>
      <c r="Q50" s="220" t="s">
        <v>70</v>
      </c>
    </row>
    <row r="51" spans="1:17" ht="21.95" customHeight="1" x14ac:dyDescent="0.25">
      <c r="A51" s="196"/>
      <c r="B51" s="196"/>
      <c r="C51" s="19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P51" s="27">
        <v>46235</v>
      </c>
      <c r="Q51" s="220">
        <v>3600</v>
      </c>
    </row>
    <row r="52" spans="1:17" ht="21.95" customHeight="1" x14ac:dyDescent="0.25">
      <c r="A52" s="196"/>
      <c r="B52" s="196"/>
      <c r="C52" s="19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P52" s="27">
        <v>46266</v>
      </c>
      <c r="Q52" s="220">
        <v>2750</v>
      </c>
    </row>
    <row r="53" spans="1:17" ht="21.95" customHeight="1" x14ac:dyDescent="0.25">
      <c r="A53" s="196"/>
      <c r="B53" s="196"/>
      <c r="C53" s="19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</row>
    <row r="54" spans="1:17" ht="21.95" customHeight="1" x14ac:dyDescent="0.25">
      <c r="A54" s="196"/>
      <c r="B54" s="196"/>
      <c r="C54" s="19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</row>
    <row r="55" spans="1:17" ht="21.95" customHeight="1" x14ac:dyDescent="0.25">
      <c r="A55" s="196"/>
      <c r="B55" s="196"/>
      <c r="C55" s="19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</row>
    <row r="56" spans="1:17" ht="21.95" customHeight="1" x14ac:dyDescent="0.25">
      <c r="A56" s="196"/>
      <c r="B56" s="196"/>
      <c r="C56" s="19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</row>
    <row r="57" spans="1:17" ht="21.95" customHeight="1" x14ac:dyDescent="0.25">
      <c r="A57" s="196"/>
      <c r="B57" s="196"/>
      <c r="C57" s="19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</row>
    <row r="58" spans="1:17" ht="21.95" customHeight="1" x14ac:dyDescent="0.25">
      <c r="A58" s="196"/>
      <c r="B58" s="196"/>
      <c r="C58" s="19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</row>
    <row r="59" spans="1:17" ht="21.95" customHeight="1" x14ac:dyDescent="0.25">
      <c r="A59" s="196"/>
      <c r="B59" s="196"/>
      <c r="C59" s="19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</row>
    <row r="60" spans="1:17" ht="21.95" customHeight="1" x14ac:dyDescent="0.25">
      <c r="A60" s="196"/>
      <c r="B60" s="196"/>
      <c r="C60" s="19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</row>
    <row r="61" spans="1:17" ht="21.95" customHeight="1" x14ac:dyDescent="0.25">
      <c r="A61" s="196"/>
      <c r="B61" s="196"/>
      <c r="C61" s="19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</row>
    <row r="62" spans="1:17" ht="21.95" customHeight="1" x14ac:dyDescent="0.25">
      <c r="A62" s="196"/>
      <c r="B62" s="196"/>
      <c r="C62" s="19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</row>
    <row r="63" spans="1:17" ht="21.95" customHeight="1" x14ac:dyDescent="0.25">
      <c r="A63" s="196"/>
      <c r="B63" s="196"/>
      <c r="C63" s="19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</row>
    <row r="64" spans="1:17" ht="21.95" customHeight="1" x14ac:dyDescent="0.25">
      <c r="A64" s="196"/>
      <c r="B64" s="196"/>
      <c r="C64" s="19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</row>
    <row r="65" spans="1:15" ht="21.95" customHeight="1" x14ac:dyDescent="0.25">
      <c r="A65" s="196"/>
      <c r="B65" s="196"/>
      <c r="C65" s="196"/>
    </row>
    <row r="66" spans="1:15" ht="21.95" customHeight="1" x14ac:dyDescent="0.25">
      <c r="A66" s="196"/>
      <c r="B66" s="196"/>
      <c r="C66" s="196"/>
    </row>
    <row r="67" spans="1:15" ht="21.95" customHeight="1" x14ac:dyDescent="0.25">
      <c r="A67" s="196"/>
      <c r="B67" s="196"/>
      <c r="C67" s="196"/>
    </row>
    <row r="68" spans="1:15" ht="21.95" customHeight="1" x14ac:dyDescent="0.25">
      <c r="A68" s="196"/>
      <c r="B68" s="196"/>
      <c r="C68" s="196"/>
    </row>
    <row r="69" spans="1:15" ht="24" customHeight="1" x14ac:dyDescent="0.25">
      <c r="A69" s="196"/>
      <c r="B69" s="196"/>
      <c r="C69" s="196"/>
      <c r="D69" s="144" t="s">
        <v>128</v>
      </c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 ht="20.100000000000001" customHeight="1" x14ac:dyDescent="0.25">
      <c r="A70" s="196"/>
      <c r="B70" s="196"/>
      <c r="C70" s="196"/>
      <c r="D70" s="145" t="s">
        <v>115</v>
      </c>
      <c r="E70" s="145"/>
      <c r="F70" s="145"/>
      <c r="G70" s="145"/>
      <c r="H70" s="145" t="s">
        <v>116</v>
      </c>
      <c r="I70" s="145"/>
      <c r="J70" s="145"/>
      <c r="K70" s="145"/>
      <c r="L70" s="145" t="s">
        <v>119</v>
      </c>
      <c r="M70" s="145"/>
      <c r="N70" s="145"/>
      <c r="O70" s="145"/>
    </row>
    <row r="71" spans="1:15" ht="20.100000000000001" customHeight="1" x14ac:dyDescent="0.25">
      <c r="A71" s="196"/>
      <c r="B71" s="196"/>
      <c r="C71" s="196"/>
      <c r="D71" s="146" t="str">
        <f>IF(Dashboard!B12&lt;=0,"Sem receita registrada",TEXT(Dashboard!B13/Dashboard!B12,"0%")&amp;" das receitas comprometidas com despesas")</f>
        <v>62% das receitas comprometidas com despesas</v>
      </c>
      <c r="E71" s="146"/>
      <c r="F71" s="146"/>
      <c r="G71" s="146"/>
      <c r="H71" s="147" t="str">
        <f>TEXT(Dashboard!B14,"R$ #.##0,00")</f>
        <v>R$ 2.750,00</v>
      </c>
      <c r="I71" s="147"/>
      <c r="J71" s="147"/>
      <c r="K71" s="147"/>
      <c r="L71" s="146" t="str">
        <f>IF(Dashboard!B14&lt;0,"ATENÇÃO: saldo negativo",IF(Dashboard!B12&lt;=0,"SEM RECEITAS REGISTRADAS",IF(Dashboard!B13/Dashboard!B12&gt;=0.9,"ALTO NÍVEL DE DESPESAS",IF(Dashboard!B13/Dashboard!B12&gt;=0.75,"DESPESAS ELEVADAS","SITUAÇÃO CONTROLADA"))))</f>
        <v>SITUAÇÃO CONTROLADA</v>
      </c>
      <c r="M71" s="146"/>
      <c r="N71" s="146"/>
      <c r="O71" s="146"/>
    </row>
    <row r="72" spans="1:15" ht="20.100000000000001" customHeight="1" x14ac:dyDescent="0.25">
      <c r="A72" s="202" t="s">
        <v>122</v>
      </c>
      <c r="B72" s="203"/>
      <c r="C72" s="204"/>
      <c r="D72" s="146"/>
      <c r="E72" s="146"/>
      <c r="F72" s="146"/>
      <c r="G72" s="146"/>
      <c r="H72" s="147"/>
      <c r="I72" s="147"/>
      <c r="J72" s="147"/>
      <c r="K72" s="147"/>
      <c r="L72" s="146"/>
      <c r="M72" s="146"/>
      <c r="N72" s="146"/>
      <c r="O72" s="146"/>
    </row>
    <row r="73" spans="1:15" ht="20.100000000000001" customHeight="1" x14ac:dyDescent="0.25">
      <c r="A73" s="203"/>
      <c r="B73" s="203"/>
      <c r="C73" s="204"/>
      <c r="D73" s="146"/>
      <c r="E73" s="146"/>
      <c r="F73" s="146"/>
      <c r="G73" s="146"/>
      <c r="H73" s="147"/>
      <c r="I73" s="147"/>
      <c r="J73" s="147"/>
      <c r="K73" s="147"/>
      <c r="L73" s="146"/>
      <c r="M73" s="146"/>
      <c r="N73" s="146"/>
      <c r="O73" s="146"/>
    </row>
    <row r="74" spans="1:15" ht="20.100000000000001" customHeight="1" x14ac:dyDescent="0.25">
      <c r="A74" s="203"/>
      <c r="B74" s="203"/>
      <c r="C74" s="204"/>
      <c r="D74" s="148" t="s">
        <v>129</v>
      </c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</row>
    <row r="75" spans="1:15" ht="20.100000000000001" customHeight="1" x14ac:dyDescent="0.25">
      <c r="A75" s="203"/>
      <c r="B75" s="203"/>
      <c r="C75" s="204"/>
      <c r="D75" s="146" t="str">
        <f>IFERROR("Meta: "&amp;INDEX(Metas!$B$2:$B$100,MATCH(1,Metas!$A$2:$A$100,0))&amp;" | Progresso: "&amp;TEXT(INDEX(Metas!$E$2:$E$100,MATCH(1,Metas!$A$2:$A$100,0))/INDEX(Metas!$D$2:$D$100,MATCH(1,Metas!$A$2:$A$100,0)),"0%")&amp;" | Status: "&amp;INDEX(Metas!$G$2:$G$100,MATCH(1,Metas!$A$2:$A$100,0)),"Nenhuma meta cadastrada")</f>
        <v>Meta: Economia Mensal | Progresso: 25% | Status: Em andamento</v>
      </c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</row>
    <row r="76" spans="1:15" ht="20.100000000000001" customHeight="1" x14ac:dyDescent="0.25">
      <c r="A76" s="203"/>
      <c r="B76" s="203"/>
      <c r="C76" s="204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</row>
    <row r="77" spans="1:15" ht="20.100000000000001" customHeight="1" x14ac:dyDescent="0.25">
      <c r="A77" s="196"/>
      <c r="B77" s="196"/>
      <c r="C77" s="19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</row>
    <row r="78" spans="1:15" x14ac:dyDescent="0.25">
      <c r="A78" s="196"/>
      <c r="B78" s="196"/>
      <c r="C78" s="196"/>
    </row>
    <row r="79" spans="1:15" ht="21.95" customHeight="1" x14ac:dyDescent="0.25">
      <c r="A79" s="196"/>
      <c r="B79" s="196"/>
      <c r="C79" s="196"/>
      <c r="D79" s="143" t="s">
        <v>130</v>
      </c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</row>
    <row r="80" spans="1:15" ht="21.95" customHeight="1" x14ac:dyDescent="0.25">
      <c r="A80" s="196"/>
      <c r="B80" s="196"/>
      <c r="C80" s="196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</row>
    <row r="81" spans="1:15" ht="20.100000000000001" customHeight="1" x14ac:dyDescent="0.25">
      <c r="A81" s="196"/>
      <c r="B81" s="196"/>
      <c r="C81" s="196"/>
      <c r="D81" s="149" t="s">
        <v>2</v>
      </c>
      <c r="E81" s="150" t="s">
        <v>5</v>
      </c>
      <c r="F81" s="150"/>
      <c r="G81" s="150"/>
      <c r="H81" s="150" t="s">
        <v>4</v>
      </c>
      <c r="I81" s="150"/>
      <c r="J81" s="149" t="s">
        <v>3</v>
      </c>
      <c r="K81" s="150" t="s">
        <v>6</v>
      </c>
      <c r="L81" s="150"/>
      <c r="M81" s="150" t="s">
        <v>70</v>
      </c>
      <c r="N81" s="150"/>
      <c r="O81" s="150"/>
    </row>
    <row r="82" spans="1:15" ht="21.95" customHeight="1" x14ac:dyDescent="0.25">
      <c r="A82" s="196"/>
      <c r="B82" s="196"/>
      <c r="C82" s="196"/>
      <c r="D82" s="154">
        <v>46286</v>
      </c>
      <c r="E82" s="155" t="s">
        <v>101</v>
      </c>
      <c r="F82" s="156"/>
      <c r="G82" s="157"/>
      <c r="H82" s="155" t="s">
        <v>21</v>
      </c>
      <c r="I82" s="157"/>
      <c r="J82" s="158" t="s">
        <v>22</v>
      </c>
      <c r="K82" s="159">
        <v>-4000</v>
      </c>
      <c r="L82" s="160"/>
      <c r="M82" s="161">
        <v>2750</v>
      </c>
      <c r="N82" s="162"/>
      <c r="O82" s="163"/>
    </row>
    <row r="83" spans="1:15" ht="21.95" customHeight="1" x14ac:dyDescent="0.25">
      <c r="A83" s="196"/>
      <c r="B83" s="196"/>
      <c r="C83" s="196"/>
      <c r="D83" s="164">
        <v>46286</v>
      </c>
      <c r="E83" s="165" t="s">
        <v>103</v>
      </c>
      <c r="F83" s="166"/>
      <c r="G83" s="167"/>
      <c r="H83" s="165" t="s">
        <v>28</v>
      </c>
      <c r="I83" s="167"/>
      <c r="J83" s="168" t="s">
        <v>22</v>
      </c>
      <c r="K83" s="169">
        <v>-200</v>
      </c>
      <c r="L83" s="170"/>
      <c r="M83" s="171">
        <v>6750</v>
      </c>
      <c r="N83" s="172"/>
      <c r="O83" s="173"/>
    </row>
    <row r="84" spans="1:15" ht="21.95" customHeight="1" x14ac:dyDescent="0.25">
      <c r="A84" s="196"/>
      <c r="B84" s="196"/>
      <c r="C84" s="196"/>
      <c r="D84" s="154">
        <v>46286</v>
      </c>
      <c r="E84" s="155" t="s">
        <v>104</v>
      </c>
      <c r="F84" s="156"/>
      <c r="G84" s="157"/>
      <c r="H84" s="155" t="s">
        <v>24</v>
      </c>
      <c r="I84" s="157"/>
      <c r="J84" s="158" t="s">
        <v>22</v>
      </c>
      <c r="K84" s="159">
        <v>-250</v>
      </c>
      <c r="L84" s="160"/>
      <c r="M84" s="161">
        <v>6950</v>
      </c>
      <c r="N84" s="162"/>
      <c r="O84" s="163"/>
    </row>
    <row r="85" spans="1:15" ht="21.95" customHeight="1" x14ac:dyDescent="0.25">
      <c r="A85" s="196"/>
      <c r="B85" s="196"/>
      <c r="C85" s="196"/>
      <c r="D85" s="164">
        <v>46285</v>
      </c>
      <c r="E85" s="165" t="s">
        <v>61</v>
      </c>
      <c r="F85" s="166"/>
      <c r="G85" s="167"/>
      <c r="H85" s="165" t="s">
        <v>16</v>
      </c>
      <c r="I85" s="167"/>
      <c r="J85" s="174" t="s">
        <v>17</v>
      </c>
      <c r="K85" s="175">
        <v>3600</v>
      </c>
      <c r="L85" s="176"/>
      <c r="M85" s="171">
        <v>7200</v>
      </c>
      <c r="N85" s="172"/>
      <c r="O85" s="173"/>
    </row>
    <row r="86" spans="1:15" ht="21.95" customHeight="1" x14ac:dyDescent="0.25">
      <c r="A86" s="196"/>
      <c r="B86" s="196"/>
      <c r="C86" s="196"/>
      <c r="D86" s="154">
        <v>46254</v>
      </c>
      <c r="E86" s="155" t="s">
        <v>118</v>
      </c>
      <c r="F86" s="156"/>
      <c r="G86" s="157"/>
      <c r="H86" s="155" t="s">
        <v>16</v>
      </c>
      <c r="I86" s="157"/>
      <c r="J86" s="177" t="s">
        <v>17</v>
      </c>
      <c r="K86" s="178">
        <v>3600</v>
      </c>
      <c r="L86" s="179"/>
      <c r="M86" s="161">
        <v>3600</v>
      </c>
      <c r="N86" s="162"/>
      <c r="O86" s="163"/>
    </row>
    <row r="87" spans="1:15" ht="21.95" customHeight="1" x14ac:dyDescent="0.25">
      <c r="A87" s="196"/>
      <c r="B87" s="196"/>
      <c r="C87" s="196"/>
      <c r="D87" s="151"/>
      <c r="E87" s="152"/>
      <c r="F87" s="152"/>
      <c r="G87" s="152"/>
      <c r="H87" s="152"/>
      <c r="I87" s="152"/>
      <c r="J87" s="151"/>
      <c r="K87" s="153"/>
      <c r="L87" s="153"/>
      <c r="M87" s="153"/>
      <c r="N87" s="153"/>
      <c r="O87" s="153"/>
    </row>
    <row r="88" spans="1:15" ht="21.95" customHeight="1" x14ac:dyDescent="0.25">
      <c r="A88" s="196"/>
      <c r="B88" s="196"/>
      <c r="C88" s="196"/>
      <c r="D88" s="151"/>
      <c r="E88" s="152"/>
      <c r="F88" s="152"/>
      <c r="G88" s="152"/>
      <c r="H88" s="152"/>
      <c r="I88" s="152"/>
      <c r="J88" s="151"/>
      <c r="K88" s="153"/>
      <c r="L88" s="153"/>
      <c r="M88" s="153"/>
      <c r="N88" s="153"/>
      <c r="O88" s="153"/>
    </row>
    <row r="89" spans="1:15" ht="21.95" customHeight="1" x14ac:dyDescent="0.25">
      <c r="A89" s="196"/>
      <c r="B89" s="196"/>
      <c r="C89" s="196"/>
      <c r="D89" s="151"/>
      <c r="E89" s="152"/>
      <c r="F89" s="152"/>
      <c r="G89" s="152"/>
      <c r="H89" s="152"/>
      <c r="I89" s="152"/>
      <c r="J89" s="151"/>
      <c r="K89" s="153"/>
      <c r="L89" s="153"/>
      <c r="M89" s="153"/>
      <c r="N89" s="153"/>
      <c r="O89" s="153"/>
    </row>
    <row r="90" spans="1:15" ht="15" x14ac:dyDescent="0.25">
      <c r="A90" s="196"/>
      <c r="B90" s="196"/>
      <c r="C90" s="196"/>
      <c r="D90"/>
      <c r="E90"/>
      <c r="F90"/>
      <c r="G90"/>
      <c r="H90"/>
      <c r="I90"/>
      <c r="J90"/>
      <c r="K90"/>
      <c r="L90"/>
      <c r="M90"/>
      <c r="N90"/>
      <c r="O90"/>
    </row>
    <row r="91" spans="1:15" ht="15" x14ac:dyDescent="0.25">
      <c r="A91" s="196"/>
      <c r="B91" s="196"/>
      <c r="C91" s="196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 s="196"/>
      <c r="B92" s="196"/>
      <c r="C92" s="196"/>
    </row>
    <row r="93" spans="1:15" ht="21.95" customHeight="1" x14ac:dyDescent="0.25">
      <c r="A93" s="196"/>
      <c r="B93" s="196"/>
      <c r="C93" s="196"/>
      <c r="D93" s="143" t="s">
        <v>131</v>
      </c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</row>
    <row r="94" spans="1:15" ht="21.95" customHeight="1" x14ac:dyDescent="0.25">
      <c r="A94" s="196"/>
      <c r="B94" s="196"/>
      <c r="C94" s="196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</row>
    <row r="95" spans="1:15" ht="21" customHeight="1" x14ac:dyDescent="0.25">
      <c r="A95" s="196"/>
      <c r="B95" s="196"/>
      <c r="C95" s="196"/>
      <c r="D95" s="180" t="s">
        <v>132</v>
      </c>
      <c r="E95" s="180"/>
      <c r="F95" s="181" t="s">
        <v>133</v>
      </c>
      <c r="G95" s="181"/>
      <c r="H95" s="181"/>
      <c r="I95" s="181"/>
      <c r="J95" s="181"/>
      <c r="K95" s="181"/>
      <c r="L95" s="181"/>
      <c r="M95" s="181"/>
      <c r="N95" s="181"/>
      <c r="O95" s="181"/>
    </row>
    <row r="96" spans="1:15" ht="21.95" customHeight="1" x14ac:dyDescent="0.25">
      <c r="A96" s="196"/>
      <c r="B96" s="196"/>
      <c r="C96" s="196"/>
      <c r="D96" s="180"/>
      <c r="E96" s="180"/>
      <c r="F96" s="182" t="s">
        <v>134</v>
      </c>
      <c r="G96" s="182"/>
      <c r="H96" s="182"/>
      <c r="I96" s="182"/>
      <c r="J96" s="182"/>
      <c r="K96" s="182"/>
      <c r="L96" s="182"/>
      <c r="M96" s="182"/>
      <c r="N96" s="182"/>
      <c r="O96" s="182"/>
    </row>
    <row r="97" spans="1:15" ht="21.95" customHeight="1" x14ac:dyDescent="0.25">
      <c r="A97" s="196"/>
      <c r="B97" s="196"/>
      <c r="C97" s="196"/>
      <c r="D97" s="180"/>
      <c r="E97" s="180"/>
      <c r="F97" s="182"/>
      <c r="G97" s="182"/>
      <c r="H97" s="182"/>
      <c r="I97" s="182"/>
      <c r="J97" s="182"/>
      <c r="K97" s="182"/>
      <c r="L97" s="182"/>
      <c r="M97" s="182"/>
      <c r="N97" s="182"/>
      <c r="O97" s="182"/>
    </row>
    <row r="98" spans="1:15" ht="21.95" customHeight="1" x14ac:dyDescent="0.25">
      <c r="A98" s="196"/>
      <c r="B98" s="196"/>
      <c r="C98" s="196"/>
      <c r="D98" s="180"/>
      <c r="E98" s="180"/>
      <c r="F98" s="183" t="s">
        <v>135</v>
      </c>
      <c r="G98" s="183"/>
      <c r="H98" s="183"/>
      <c r="I98" s="183"/>
      <c r="J98" s="183"/>
      <c r="K98" s="183"/>
      <c r="L98" s="183"/>
      <c r="M98" s="183"/>
      <c r="N98" s="183"/>
      <c r="O98" s="183"/>
    </row>
    <row r="99" spans="1:15" ht="21.95" customHeight="1" x14ac:dyDescent="0.25">
      <c r="A99" s="196"/>
      <c r="B99" s="196"/>
      <c r="C99" s="196"/>
      <c r="D99" s="184"/>
      <c r="E99" s="184"/>
      <c r="F99" s="183"/>
      <c r="G99" s="183"/>
      <c r="H99" s="183"/>
      <c r="I99" s="183"/>
      <c r="J99" s="183"/>
      <c r="K99" s="183"/>
      <c r="L99" s="183"/>
      <c r="M99" s="183"/>
      <c r="N99" s="183"/>
      <c r="O99" s="183"/>
    </row>
  </sheetData>
  <mergeCells count="84">
    <mergeCell ref="A72:C76"/>
    <mergeCell ref="D95:E98"/>
    <mergeCell ref="F95:O95"/>
    <mergeCell ref="F96:O97"/>
    <mergeCell ref="F98:O99"/>
    <mergeCell ref="D1:I3"/>
    <mergeCell ref="J1:L3"/>
    <mergeCell ref="M1:O3"/>
    <mergeCell ref="E86:G86"/>
    <mergeCell ref="H86:I86"/>
    <mergeCell ref="K86:L86"/>
    <mergeCell ref="M86:O86"/>
    <mergeCell ref="D93:O94"/>
    <mergeCell ref="E84:G84"/>
    <mergeCell ref="H84:I84"/>
    <mergeCell ref="K84:L84"/>
    <mergeCell ref="M84:O84"/>
    <mergeCell ref="E85:G85"/>
    <mergeCell ref="H85:I85"/>
    <mergeCell ref="K85:L85"/>
    <mergeCell ref="M85:O85"/>
    <mergeCell ref="E82:G82"/>
    <mergeCell ref="H82:I82"/>
    <mergeCell ref="K82:L82"/>
    <mergeCell ref="M82:O82"/>
    <mergeCell ref="E83:G83"/>
    <mergeCell ref="H83:I83"/>
    <mergeCell ref="K83:L83"/>
    <mergeCell ref="M83:O83"/>
    <mergeCell ref="D74:O74"/>
    <mergeCell ref="D75:O77"/>
    <mergeCell ref="D79:O80"/>
    <mergeCell ref="E81:G81"/>
    <mergeCell ref="H81:I81"/>
    <mergeCell ref="K81:L81"/>
    <mergeCell ref="M81:O81"/>
    <mergeCell ref="D70:G70"/>
    <mergeCell ref="D71:G73"/>
    <mergeCell ref="H70:K70"/>
    <mergeCell ref="H71:K73"/>
    <mergeCell ref="L70:O70"/>
    <mergeCell ref="L71:O73"/>
    <mergeCell ref="J30:L30"/>
    <mergeCell ref="M30:O30"/>
    <mergeCell ref="J31:L31"/>
    <mergeCell ref="J35:O35"/>
    <mergeCell ref="D69:O69"/>
    <mergeCell ref="A24:C25"/>
    <mergeCell ref="A12:C13"/>
    <mergeCell ref="J26:O26"/>
    <mergeCell ref="J28:O28"/>
    <mergeCell ref="J29:L29"/>
    <mergeCell ref="M29:O29"/>
    <mergeCell ref="M5:O5"/>
    <mergeCell ref="M6:O9"/>
    <mergeCell ref="A15:C16"/>
    <mergeCell ref="A18:C19"/>
    <mergeCell ref="A21:C22"/>
    <mergeCell ref="A2:C4"/>
    <mergeCell ref="A6:C7"/>
    <mergeCell ref="A9:C10"/>
    <mergeCell ref="J5:L5"/>
    <mergeCell ref="J6:L9"/>
    <mergeCell ref="D5:F5"/>
    <mergeCell ref="D6:F9"/>
    <mergeCell ref="G5:I5"/>
    <mergeCell ref="G6:I9"/>
    <mergeCell ref="D26:I26"/>
    <mergeCell ref="D38:O38"/>
    <mergeCell ref="D40:F40"/>
    <mergeCell ref="D41:F43"/>
    <mergeCell ref="G40:I40"/>
    <mergeCell ref="G41:I43"/>
    <mergeCell ref="J40:O40"/>
    <mergeCell ref="J41:O43"/>
    <mergeCell ref="D44:F44"/>
    <mergeCell ref="D45:F46"/>
    <mergeCell ref="J44:O46"/>
    <mergeCell ref="D47:O47"/>
    <mergeCell ref="M31:O31"/>
    <mergeCell ref="J32:L32"/>
    <mergeCell ref="M32:O32"/>
    <mergeCell ref="J34:L34"/>
    <mergeCell ref="M34:O3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H13" sqref="H13"/>
    </sheetView>
  </sheetViews>
  <sheetFormatPr defaultRowHeight="15" x14ac:dyDescent="0.25"/>
  <cols>
    <col min="1" max="1" width="10.5703125" customWidth="1"/>
    <col min="2" max="2" width="12.5703125" style="2" customWidth="1"/>
    <col min="3" max="3" width="14.5703125" customWidth="1"/>
    <col min="4" max="4" width="20.5703125" customWidth="1"/>
    <col min="5" max="5" width="30.5703125" customWidth="1"/>
    <col min="6" max="6" width="14.5703125" style="4" customWidth="1"/>
    <col min="7" max="7" width="20.5703125" customWidth="1"/>
    <col min="8" max="8" width="22.5703125" customWidth="1"/>
    <col min="9" max="9" width="15.5703125" customWidth="1"/>
    <col min="10" max="10" width="35.5703125" customWidth="1"/>
    <col min="11" max="11" width="20.5703125" style="5" customWidth="1"/>
  </cols>
  <sheetData>
    <row r="1" spans="1:11" x14ac:dyDescent="0.2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2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3" spans="1:11" x14ac:dyDescent="0.25">
      <c r="B3" s="3">
        <v>46286</v>
      </c>
      <c r="C3" t="s">
        <v>22</v>
      </c>
      <c r="D3" t="s">
        <v>21</v>
      </c>
      <c r="E3" t="s">
        <v>101</v>
      </c>
      <c r="F3" s="4">
        <v>4000</v>
      </c>
      <c r="G3" t="s">
        <v>58</v>
      </c>
      <c r="H3" t="s">
        <v>35</v>
      </c>
      <c r="I3" s="1" t="s">
        <v>56</v>
      </c>
      <c r="J3" t="s">
        <v>102</v>
      </c>
    </row>
    <row r="4" spans="1:11" x14ac:dyDescent="0.25">
      <c r="B4" s="3">
        <v>46286</v>
      </c>
      <c r="C4" t="s">
        <v>22</v>
      </c>
      <c r="D4" t="s">
        <v>28</v>
      </c>
      <c r="E4" t="s">
        <v>103</v>
      </c>
      <c r="F4" s="4">
        <v>200</v>
      </c>
      <c r="G4" t="s">
        <v>58</v>
      </c>
      <c r="H4" t="s">
        <v>35</v>
      </c>
      <c r="I4" s="1" t="s">
        <v>56</v>
      </c>
      <c r="J4" t="s">
        <v>102</v>
      </c>
    </row>
    <row r="5" spans="1:11" x14ac:dyDescent="0.25">
      <c r="B5" s="3">
        <v>46286</v>
      </c>
      <c r="C5" t="s">
        <v>22</v>
      </c>
      <c r="D5" t="s">
        <v>24</v>
      </c>
      <c r="E5" t="s">
        <v>104</v>
      </c>
      <c r="F5" s="4">
        <v>250</v>
      </c>
      <c r="G5" t="s">
        <v>58</v>
      </c>
      <c r="H5" t="s">
        <v>35</v>
      </c>
      <c r="I5" s="1" t="s">
        <v>56</v>
      </c>
      <c r="J5" t="s">
        <v>102</v>
      </c>
    </row>
    <row r="6" spans="1:11" x14ac:dyDescent="0.25">
      <c r="B6" s="3">
        <v>46254</v>
      </c>
      <c r="C6" t="s">
        <v>17</v>
      </c>
      <c r="D6" t="s">
        <v>16</v>
      </c>
      <c r="E6" t="s">
        <v>118</v>
      </c>
      <c r="F6" s="4">
        <v>3600</v>
      </c>
      <c r="G6" t="s">
        <v>58</v>
      </c>
      <c r="H6" t="s">
        <v>35</v>
      </c>
      <c r="I6" s="1" t="s">
        <v>56</v>
      </c>
      <c r="J6" t="s">
        <v>102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5703125" customWidth="1"/>
    <col min="2" max="2" width="25.5703125" customWidth="1"/>
    <col min="3" max="3" width="18.5703125" customWidth="1"/>
    <col min="4" max="4" width="25.5703125" customWidth="1"/>
    <col min="5" max="5" width="16.5703125" style="4" customWidth="1"/>
    <col min="6" max="6" width="12.570312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2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5703125" customWidth="1"/>
    <col min="2" max="2" width="25.5703125" customWidth="1"/>
    <col min="3" max="3" width="15.5703125" customWidth="1"/>
    <col min="4" max="4" width="12.570312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2"/>
  <sheetViews>
    <sheetView workbookViewId="0">
      <selection activeCell="G6" sqref="G6"/>
    </sheetView>
  </sheetViews>
  <sheetFormatPr defaultRowHeight="15" x14ac:dyDescent="0.25"/>
  <cols>
    <col min="1" max="1" width="10.5703125" customWidth="1"/>
    <col min="2" max="2" width="30.5703125" customWidth="1"/>
    <col min="3" max="3" width="20.5703125" customWidth="1"/>
    <col min="4" max="5" width="18.5703125" style="4" customWidth="1"/>
    <col min="6" max="6" width="15.5703125" style="2" customWidth="1"/>
    <col min="7" max="7" width="15.5703125" customWidth="1"/>
  </cols>
  <sheetData>
    <row r="1" spans="1:7" x14ac:dyDescent="0.2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  <row r="2" spans="1:7" x14ac:dyDescent="0.25">
      <c r="A2">
        <v>1</v>
      </c>
      <c r="B2" t="s">
        <v>105</v>
      </c>
      <c r="C2" t="s">
        <v>82</v>
      </c>
      <c r="D2" s="4">
        <v>10000</v>
      </c>
      <c r="E2" s="4">
        <v>2500</v>
      </c>
      <c r="F2" s="2" t="s">
        <v>106</v>
      </c>
      <c r="G2" t="s">
        <v>107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5703125" customWidth="1"/>
    <col min="2" max="2" width="28.5703125" customWidth="1"/>
    <col min="3" max="3" width="18.5703125" customWidth="1"/>
    <col min="4" max="4" width="12.570312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5703125" customWidth="1"/>
    <col min="2" max="2" width="35.570312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</vt:lpstr>
      <vt:lpstr>Dashboard_V2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2026-09-22T19:10:17Z</dcterms:modified>
</cp:coreProperties>
</file>