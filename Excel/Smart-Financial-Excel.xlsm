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4E9D0864-73DB-4912-B041-520A7B5ED05D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5" i="9" l="1"/>
  <c r="J71" i="9"/>
  <c r="F71" i="9"/>
  <c r="B71" i="9"/>
  <c r="B15" i="2"/>
  <c r="M7" i="9" s="1"/>
  <c r="B13" i="2"/>
  <c r="G7" i="9" s="1"/>
  <c r="B12" i="2"/>
  <c r="D7" i="9" s="1"/>
  <c r="J5" i="2"/>
  <c r="D5" i="2"/>
  <c r="A5" i="2"/>
  <c r="B14" i="2" l="1"/>
  <c r="J7" i="9" s="1"/>
  <c r="G5" i="2"/>
</calcChain>
</file>

<file path=xl/sharedStrings.xml><?xml version="1.0" encoding="utf-8"?>
<sst xmlns="http://schemas.openxmlformats.org/spreadsheetml/2006/main" count="252" uniqueCount="131">
  <si>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</si>
  <si>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</si>
  <si>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</si>
  <si>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</si>
  <si>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</si>
  <si>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</si>
  <si>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</si>
  <si>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</si>
  <si>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</si>
  <si>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</si>
  <si>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</si>
  <si>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</si>
  <si>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</si>
  <si>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</si>
  <si>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</si>
  <si>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</si>
  <si>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</si>
  <si>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</si>
  <si>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</si>
  <si>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</si>
  <si>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</si>
  <si>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</si>
  <si>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</si>
  <si>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</si>
  <si>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</si>
  <si>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</si>
  <si>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</si>
  <si>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</si>
  <si>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</si>
  <si>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</si>
  <si>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</si>
  <si>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</si>
  <si>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</si>
  <si>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</si>
  <si>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</si>
  <si>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</si>
  <si>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</si>
  <si>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</si>
  <si>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</si>
  <si>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</si>
  <si>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</si>
  <si>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</si>
  <si>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</si>
  <si>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</si>
  <si>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</si>
  <si>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</si>
  <si>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</si>
  <si>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</si>
  <si>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</si>
  <si>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</si>
  <si>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</si>
  <si>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</si>
  <si>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</si>
  <si>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</si>
  <si>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</si>
  <si>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</si>
  <si>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</si>
  <si>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</si>
  <si>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</si>
  <si>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</si>
  <si>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</si>
  <si>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</si>
  <si>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</si>
  <si>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</si>
  <si>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</si>
  <si>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</si>
  <si>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</si>
  <si>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</si>
  <si>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</si>
  <si>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</si>
  <si>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</si>
  <si>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</si>
  <si>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</si>
  <si>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</si>
  <si>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</si>
  <si>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</si>
  <si>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</si>
  <si>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</si>
  <si>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</si>
  <si>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</si>
  <si>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</si>
  <si>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</si>
  <si>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</si>
  <si>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</si>
  <si>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</si>
  <si>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</si>
  <si>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</si>
  <si>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</si>
  <si>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</si>
  <si>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</si>
  <si>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</si>
  <si>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</si>
  <si>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</si>
  <si>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</si>
  <si>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</si>
  <si>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</si>
  <si>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</si>
  <si>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</si>
  <si>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</si>
  <si>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FINANCIAL</t>
  </si>
  <si>
    <t>Dashboard</t>
  </si>
  <si>
    <t>Metas</t>
  </si>
  <si>
    <t>Relatórios</t>
  </si>
  <si>
    <t>Configurações</t>
  </si>
  <si>
    <t>RECEITAS x DESPESAS</t>
  </si>
  <si>
    <t>ÁREA DO PERSONAGEM</t>
  </si>
  <si>
    <t>Supermercado</t>
  </si>
  <si>
    <t>Teste Dashabord</t>
  </si>
  <si>
    <t>Conta de luz</t>
  </si>
  <si>
    <t>Combustivel</t>
  </si>
  <si>
    <t>Economia Mensal</t>
  </si>
  <si>
    <t>39/09/2026</t>
  </si>
  <si>
    <t>Em andamento</t>
  </si>
  <si>
    <t>META FINANCEIRA</t>
  </si>
  <si>
    <t>Objetivo</t>
  </si>
  <si>
    <t>R$ 10.000,00</t>
  </si>
  <si>
    <t>Atual</t>
  </si>
  <si>
    <t>R$ 2.500,00</t>
  </si>
  <si>
    <t>Progresso</t>
  </si>
  <si>
    <t>Prazo</t>
  </si>
  <si>
    <t>-</t>
  </si>
  <si>
    <t>25% concluído</t>
  </si>
  <si>
    <t>DESPESAS / RECEITAS</t>
  </si>
  <si>
    <t>SALDO ATUAL</t>
  </si>
  <si>
    <t>||||||||||</t>
  </si>
  <si>
    <t>EVOLUÇÃO DO SALDO</t>
  </si>
  <si>
    <t>Salario teste</t>
  </si>
  <si>
    <t>INSIGHTS FINANCEIROS</t>
  </si>
  <si>
    <t>SITUAÇÃO FINANCEIRA</t>
  </si>
  <si>
    <t>ACOMPANHAMENTO DA META</t>
  </si>
  <si>
    <t>Sua situação financeira está boa, mas merece acompanhamento.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</si>
</sst>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R$&quot;\ #,##0.00"/>
    <numFmt numFmtId="165" formatCode="0.0%"/>
    <numFmt numFmtId="166" formatCode="&quot;R$&quot;\ #,##0.00"/>
    <numFmt numFmtId="167" formatCode="mmm/aaaa"/>
    <numFmt numFmtId="169" formatCode="mmm/yyyy"/>
    <numFmt numFmtId="170" formatCode="\R&quot;R$&quot;\ #,##0.00"/>
  </numFmts>
  <fonts count="59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5"/>
      <color rgb="FFFFFFFF"/>
      <name val="Aptos Display"/>
      <family val="2"/>
    </font>
    <font>
      <b/>
      <sz val="10"/>
      <color rgb="FFDCE6F0"/>
      <name val="Aptos"/>
      <family val="2"/>
    </font>
    <font>
      <b/>
      <sz val="11"/>
      <color rgb="FF232D3C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8"/>
      <color rgb="FF2962B4"/>
      <name val="Aptos Display"/>
      <family val="2"/>
    </font>
    <font>
      <b/>
      <sz val="18"/>
      <color rgb="FF6F4EAA"/>
      <name val="Aptos Display"/>
      <family val="2"/>
    </font>
    <font>
      <b/>
      <sz val="12"/>
      <color rgb="FF1E375A"/>
      <name val="Aptos"/>
      <family val="2"/>
    </font>
    <font>
      <i/>
      <sz val="10"/>
      <color rgb="FF505A69"/>
      <name val="Aptos"/>
      <family val="2"/>
    </font>
    <font>
      <b/>
      <sz val="12"/>
      <color rgb="FF1E375A"/>
      <name val="Aptos Display"/>
      <family val="2"/>
    </font>
    <font>
      <b/>
      <sz val="11"/>
      <color rgb="FF646E7D"/>
      <name val="Aptos"/>
      <family val="2"/>
    </font>
    <font>
      <sz val="10"/>
      <color rgb="FF1F3748"/>
      <name val="Aptos"/>
      <family val="2"/>
    </font>
    <font>
      <b/>
      <sz val="28"/>
      <color rgb="FF27AE60"/>
      <name val="Aptos Display"/>
      <family val="2"/>
    </font>
    <font>
      <b/>
      <sz val="10"/>
      <color rgb="FF1F3748"/>
      <name val="Aptos"/>
      <family val="2"/>
    </font>
    <font>
      <b/>
      <sz val="16"/>
      <color rgb="FF27AE60"/>
      <name val="Aptos"/>
      <family val="2"/>
    </font>
    <font>
      <b/>
      <sz val="14"/>
      <color rgb="FF27AE60"/>
      <name val="Aptos"/>
      <family val="2"/>
    </font>
    <font>
      <b/>
      <sz val="13"/>
      <color rgb="FF27AE60"/>
      <name val="Aptos"/>
      <family val="2"/>
    </font>
    <font>
      <i/>
      <sz val="10"/>
      <color rgb="FF464646"/>
      <name val="Aptos"/>
      <family val="2"/>
    </font>
    <font>
      <b/>
      <sz val="12"/>
      <color rgb="FFFFFFFF"/>
      <name val="Aptos Display"/>
      <family val="2"/>
    </font>
    <font>
      <b/>
      <sz val="11"/>
      <color rgb="FF154E6B"/>
      <name val="Aptos"/>
      <family val="2"/>
    </font>
    <font>
      <b/>
      <sz val="15"/>
      <color theme="1"/>
      <name val="Aptos Display"/>
      <family val="2"/>
    </font>
    <font>
      <b/>
      <sz val="10"/>
      <color rgb="FF154E6B"/>
      <name val="Aptos"/>
      <family val="2"/>
    </font>
    <font>
      <b/>
      <sz val="20"/>
      <color rgb="FF27AE60"/>
      <name val="Aptos Display"/>
      <family val="2"/>
    </font>
    <font>
      <b/>
      <sz val="14"/>
      <color rgb="FF27AE60"/>
      <name val="Aptos Display"/>
      <family val="2"/>
    </font>
    <font>
      <b/>
      <sz val="12"/>
      <color rgb="FF27AE60"/>
      <name val="Aptos"/>
      <family val="2"/>
    </font>
    <font>
      <b/>
      <sz val="10"/>
      <color rgb="FF1E375A"/>
      <name val="Aptos"/>
      <family val="2"/>
    </font>
    <font>
      <b/>
      <sz val="10"/>
      <color rgb="FF646464"/>
      <name val="Aptos"/>
      <family val="2"/>
    </font>
    <font>
      <b/>
      <sz val="10"/>
      <color rgb="FF27AE60"/>
      <name val="Aptos"/>
      <family val="2"/>
    </font>
  </fonts>
  <fills count="23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10263D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DCF8E8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0ECFF"/>
        <bgColor indexed="64"/>
      </patternFill>
    </fill>
    <fill>
      <patternFill patternType="solid">
        <fgColor rgb="FFEEE9FF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F2F5F7"/>
        <bgColor indexed="64"/>
      </patternFill>
    </fill>
    <fill>
      <patternFill patternType="solid">
        <fgColor rgb="FFF8FAFB"/>
        <bgColor indexed="64"/>
      </patternFill>
    </fill>
  </fills>
  <borders count="28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154E6B"/>
      </left>
      <right style="thin">
        <color rgb="FF154E6B"/>
      </right>
      <top style="thin">
        <color rgb="FF154E6B"/>
      </top>
      <bottom style="thin">
        <color rgb="FF154E6B"/>
      </bottom>
      <diagonal/>
    </border>
    <border>
      <left/>
      <right/>
      <top style="thin">
        <color rgb="FF154E6B"/>
      </top>
      <bottom/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/>
      <diagonal/>
    </border>
    <border>
      <left/>
      <right/>
      <top style="thin">
        <color rgb="FFE1E6EC"/>
      </top>
      <bottom/>
      <diagonal/>
    </border>
    <border>
      <left/>
      <right style="thin">
        <color rgb="FFE1E6EC"/>
      </right>
      <top style="thin">
        <color rgb="FFE1E6EC"/>
      </top>
      <bottom/>
      <diagonal/>
    </border>
    <border>
      <left style="thin">
        <color rgb="FFE1E6EC"/>
      </left>
      <right/>
      <top/>
      <bottom style="thin">
        <color rgb="FFE1E6EC"/>
      </bottom>
      <diagonal/>
    </border>
    <border>
      <left/>
      <right/>
      <top/>
      <bottom style="thin">
        <color rgb="FFE1E6EC"/>
      </bottom>
      <diagonal/>
    </border>
    <border>
      <left/>
      <right style="thin">
        <color rgb="FFE1E6EC"/>
      </right>
      <top/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DCE1E6"/>
      </left>
      <right style="thin">
        <color rgb="FFDCE1E6"/>
      </right>
      <top/>
      <bottom style="thin">
        <color rgb="FFDCE1E6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medium">
        <color rgb="FF27AE60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30" fillId="13" borderId="0" xfId="0" applyFont="1" applyFill="1"/>
    <xf numFmtId="0" fontId="31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29" fillId="15" borderId="16" xfId="0" applyFont="1" applyFill="1" applyBorder="1" applyAlignment="1">
      <alignment horizontal="left" vertical="center"/>
    </xf>
    <xf numFmtId="0" fontId="33" fillId="15" borderId="17" xfId="0" applyFont="1" applyFill="1" applyBorder="1" applyAlignment="1">
      <alignment horizontal="left" vertical="center"/>
    </xf>
    <xf numFmtId="0" fontId="33" fillId="15" borderId="18" xfId="0" applyFont="1" applyFill="1" applyBorder="1" applyAlignment="1">
      <alignment horizontal="left" vertical="center"/>
    </xf>
    <xf numFmtId="0" fontId="33" fillId="15" borderId="19" xfId="0" applyFont="1" applyFill="1" applyBorder="1" applyAlignment="1">
      <alignment horizontal="left" vertical="center"/>
    </xf>
    <xf numFmtId="0" fontId="33" fillId="15" borderId="20" xfId="0" applyFont="1" applyFill="1" applyBorder="1" applyAlignment="1">
      <alignment horizontal="left" vertical="center"/>
    </xf>
    <xf numFmtId="0" fontId="33" fillId="15" borderId="21" xfId="0" applyFont="1" applyFill="1" applyBorder="1" applyAlignment="1">
      <alignment horizontal="left" vertical="center"/>
    </xf>
    <xf numFmtId="0" fontId="33" fillId="15" borderId="22" xfId="0" applyFont="1" applyFill="1" applyBorder="1" applyAlignment="1">
      <alignment horizontal="left" vertical="center"/>
    </xf>
    <xf numFmtId="166" fontId="34" fillId="15" borderId="17" xfId="0" applyNumberFormat="1" applyFont="1" applyFill="1" applyBorder="1" applyAlignment="1">
      <alignment horizontal="left" vertical="center"/>
    </xf>
    <xf numFmtId="166" fontId="34" fillId="15" borderId="18" xfId="0" applyNumberFormat="1" applyFont="1" applyFill="1" applyBorder="1" applyAlignment="1">
      <alignment horizontal="left" vertical="center"/>
    </xf>
    <xf numFmtId="166" fontId="34" fillId="15" borderId="19" xfId="0" applyNumberFormat="1" applyFont="1" applyFill="1" applyBorder="1" applyAlignment="1">
      <alignment horizontal="left" vertical="center"/>
    </xf>
    <xf numFmtId="166" fontId="34" fillId="15" borderId="20" xfId="0" applyNumberFormat="1" applyFont="1" applyFill="1" applyBorder="1" applyAlignment="1">
      <alignment horizontal="left" vertical="center"/>
    </xf>
    <xf numFmtId="166" fontId="34" fillId="15" borderId="21" xfId="0" applyNumberFormat="1" applyFont="1" applyFill="1" applyBorder="1" applyAlignment="1">
      <alignment horizontal="left" vertical="center"/>
    </xf>
    <xf numFmtId="166" fontId="34" fillId="15" borderId="22" xfId="0" applyNumberFormat="1" applyFont="1" applyFill="1" applyBorder="1" applyAlignment="1">
      <alignment horizontal="left" vertical="center"/>
    </xf>
    <xf numFmtId="0" fontId="29" fillId="16" borderId="16" xfId="0" applyFont="1" applyFill="1" applyBorder="1" applyAlignment="1">
      <alignment horizontal="left" vertical="center"/>
    </xf>
    <xf numFmtId="0" fontId="33" fillId="16" borderId="17" xfId="0" applyFont="1" applyFill="1" applyBorder="1" applyAlignment="1">
      <alignment horizontal="left" vertical="center"/>
    </xf>
    <xf numFmtId="0" fontId="33" fillId="16" borderId="18" xfId="0" applyFont="1" applyFill="1" applyBorder="1" applyAlignment="1">
      <alignment horizontal="left" vertical="center"/>
    </xf>
    <xf numFmtId="0" fontId="33" fillId="16" borderId="19" xfId="0" applyFont="1" applyFill="1" applyBorder="1" applyAlignment="1">
      <alignment horizontal="left" vertical="center"/>
    </xf>
    <xf numFmtId="0" fontId="33" fillId="16" borderId="20" xfId="0" applyFont="1" applyFill="1" applyBorder="1" applyAlignment="1">
      <alignment horizontal="left" vertical="center"/>
    </xf>
    <xf numFmtId="0" fontId="33" fillId="16" borderId="21" xfId="0" applyFont="1" applyFill="1" applyBorder="1" applyAlignment="1">
      <alignment horizontal="left" vertical="center"/>
    </xf>
    <xf numFmtId="0" fontId="33" fillId="16" borderId="22" xfId="0" applyFont="1" applyFill="1" applyBorder="1" applyAlignment="1">
      <alignment horizontal="left" vertical="center"/>
    </xf>
    <xf numFmtId="166" fontId="35" fillId="16" borderId="17" xfId="0" applyNumberFormat="1" applyFont="1" applyFill="1" applyBorder="1" applyAlignment="1">
      <alignment horizontal="left" vertical="center"/>
    </xf>
    <xf numFmtId="166" fontId="35" fillId="16" borderId="18" xfId="0" applyNumberFormat="1" applyFont="1" applyFill="1" applyBorder="1" applyAlignment="1">
      <alignment horizontal="left" vertical="center"/>
    </xf>
    <xf numFmtId="166" fontId="35" fillId="16" borderId="19" xfId="0" applyNumberFormat="1" applyFont="1" applyFill="1" applyBorder="1" applyAlignment="1">
      <alignment horizontal="left" vertical="center"/>
    </xf>
    <xf numFmtId="166" fontId="35" fillId="16" borderId="20" xfId="0" applyNumberFormat="1" applyFont="1" applyFill="1" applyBorder="1" applyAlignment="1">
      <alignment horizontal="left" vertical="center"/>
    </xf>
    <xf numFmtId="166" fontId="35" fillId="16" borderId="21" xfId="0" applyNumberFormat="1" applyFont="1" applyFill="1" applyBorder="1" applyAlignment="1">
      <alignment horizontal="left" vertical="center"/>
    </xf>
    <xf numFmtId="166" fontId="35" fillId="16" borderId="22" xfId="0" applyNumberFormat="1" applyFont="1" applyFill="1" applyBorder="1" applyAlignment="1">
      <alignment horizontal="left" vertical="center"/>
    </xf>
    <xf numFmtId="0" fontId="29" fillId="17" borderId="16" xfId="0" applyFont="1" applyFill="1" applyBorder="1" applyAlignment="1">
      <alignment horizontal="left" vertical="center"/>
    </xf>
    <xf numFmtId="0" fontId="33" fillId="17" borderId="17" xfId="0" applyFont="1" applyFill="1" applyBorder="1" applyAlignment="1">
      <alignment horizontal="left" vertical="center"/>
    </xf>
    <xf numFmtId="0" fontId="33" fillId="17" borderId="18" xfId="0" applyFont="1" applyFill="1" applyBorder="1" applyAlignment="1">
      <alignment horizontal="left" vertical="center"/>
    </xf>
    <xf numFmtId="0" fontId="33" fillId="17" borderId="19" xfId="0" applyFont="1" applyFill="1" applyBorder="1" applyAlignment="1">
      <alignment horizontal="left" vertical="center"/>
    </xf>
    <xf numFmtId="0" fontId="33" fillId="17" borderId="20" xfId="0" applyFont="1" applyFill="1" applyBorder="1" applyAlignment="1">
      <alignment horizontal="left" vertical="center"/>
    </xf>
    <xf numFmtId="0" fontId="33" fillId="17" borderId="21" xfId="0" applyFont="1" applyFill="1" applyBorder="1" applyAlignment="1">
      <alignment horizontal="left" vertical="center"/>
    </xf>
    <xf numFmtId="0" fontId="33" fillId="17" borderId="22" xfId="0" applyFont="1" applyFill="1" applyBorder="1" applyAlignment="1">
      <alignment horizontal="left" vertical="center"/>
    </xf>
    <xf numFmtId="166" fontId="36" fillId="17" borderId="17" xfId="0" applyNumberFormat="1" applyFont="1" applyFill="1" applyBorder="1" applyAlignment="1">
      <alignment horizontal="left" vertical="center"/>
    </xf>
    <xf numFmtId="166" fontId="36" fillId="17" borderId="18" xfId="0" applyNumberFormat="1" applyFont="1" applyFill="1" applyBorder="1" applyAlignment="1">
      <alignment horizontal="left" vertical="center"/>
    </xf>
    <xf numFmtId="166" fontId="36" fillId="17" borderId="19" xfId="0" applyNumberFormat="1" applyFont="1" applyFill="1" applyBorder="1" applyAlignment="1">
      <alignment horizontal="left" vertical="center"/>
    </xf>
    <xf numFmtId="166" fontId="36" fillId="17" borderId="20" xfId="0" applyNumberFormat="1" applyFont="1" applyFill="1" applyBorder="1" applyAlignment="1">
      <alignment horizontal="left" vertical="center"/>
    </xf>
    <xf numFmtId="166" fontId="36" fillId="17" borderId="21" xfId="0" applyNumberFormat="1" applyFont="1" applyFill="1" applyBorder="1" applyAlignment="1">
      <alignment horizontal="left" vertical="center"/>
    </xf>
    <xf numFmtId="166" fontId="36" fillId="17" borderId="22" xfId="0" applyNumberFormat="1" applyFont="1" applyFill="1" applyBorder="1" applyAlignment="1">
      <alignment horizontal="left" vertical="center"/>
    </xf>
    <xf numFmtId="0" fontId="29" fillId="18" borderId="16" xfId="0" applyFont="1" applyFill="1" applyBorder="1" applyAlignment="1">
      <alignment horizontal="left" vertical="center"/>
    </xf>
    <xf numFmtId="0" fontId="33" fillId="18" borderId="17" xfId="0" applyFont="1" applyFill="1" applyBorder="1" applyAlignment="1">
      <alignment horizontal="left" vertical="center"/>
    </xf>
    <xf numFmtId="0" fontId="33" fillId="18" borderId="18" xfId="0" applyFont="1" applyFill="1" applyBorder="1" applyAlignment="1">
      <alignment horizontal="left" vertical="center"/>
    </xf>
    <xf numFmtId="0" fontId="33" fillId="18" borderId="19" xfId="0" applyFont="1" applyFill="1" applyBorder="1" applyAlignment="1">
      <alignment horizontal="left" vertical="center"/>
    </xf>
    <xf numFmtId="0" fontId="33" fillId="18" borderId="20" xfId="0" applyFont="1" applyFill="1" applyBorder="1" applyAlignment="1">
      <alignment horizontal="left" vertical="center"/>
    </xf>
    <xf numFmtId="0" fontId="33" fillId="18" borderId="21" xfId="0" applyFont="1" applyFill="1" applyBorder="1" applyAlignment="1">
      <alignment horizontal="left" vertical="center"/>
    </xf>
    <xf numFmtId="0" fontId="33" fillId="18" borderId="22" xfId="0" applyFont="1" applyFill="1" applyBorder="1" applyAlignment="1">
      <alignment horizontal="left" vertical="center"/>
    </xf>
    <xf numFmtId="1" fontId="37" fillId="18" borderId="17" xfId="0" applyNumberFormat="1" applyFont="1" applyFill="1" applyBorder="1" applyAlignment="1">
      <alignment horizontal="left" vertical="center"/>
    </xf>
    <xf numFmtId="1" fontId="37" fillId="18" borderId="18" xfId="0" applyNumberFormat="1" applyFont="1" applyFill="1" applyBorder="1" applyAlignment="1">
      <alignment horizontal="left" vertical="center"/>
    </xf>
    <xf numFmtId="1" fontId="37" fillId="18" borderId="19" xfId="0" applyNumberFormat="1" applyFont="1" applyFill="1" applyBorder="1" applyAlignment="1">
      <alignment horizontal="left" vertical="center"/>
    </xf>
    <xf numFmtId="1" fontId="37" fillId="18" borderId="20" xfId="0" applyNumberFormat="1" applyFont="1" applyFill="1" applyBorder="1" applyAlignment="1">
      <alignment horizontal="left" vertical="center"/>
    </xf>
    <xf numFmtId="1" fontId="37" fillId="18" borderId="21" xfId="0" applyNumberFormat="1" applyFont="1" applyFill="1" applyBorder="1" applyAlignment="1">
      <alignment horizontal="left" vertical="center"/>
    </xf>
    <xf numFmtId="1" fontId="37" fillId="18" borderId="22" xfId="0" applyNumberFormat="1" applyFont="1" applyFill="1" applyBorder="1" applyAlignment="1">
      <alignment horizontal="left" vertical="center"/>
    </xf>
    <xf numFmtId="0" fontId="38" fillId="3" borderId="16" xfId="0" applyFont="1" applyFill="1" applyBorder="1" applyAlignment="1">
      <alignment horizontal="left" vertical="top"/>
    </xf>
    <xf numFmtId="0" fontId="38" fillId="3" borderId="16" xfId="0" applyFont="1" applyFill="1" applyBorder="1" applyAlignment="1">
      <alignment horizontal="left" vertical="top"/>
    </xf>
    <xf numFmtId="0" fontId="15" fillId="12" borderId="14" xfId="0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0" fillId="3" borderId="2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1" fillId="3" borderId="16" xfId="0" applyFont="1" applyFill="1" applyBorder="1" applyAlignment="1">
      <alignment horizontal="center" vertical="center" wrapText="1"/>
    </xf>
    <xf numFmtId="0" fontId="42" fillId="2" borderId="0" xfId="0" applyFont="1" applyFill="1"/>
    <xf numFmtId="0" fontId="31" fillId="12" borderId="1" xfId="0" applyFont="1" applyFill="1" applyBorder="1" applyAlignment="1">
      <alignment horizontal="left" vertical="center"/>
    </xf>
    <xf numFmtId="0" fontId="42" fillId="2" borderId="1" xfId="0" applyFont="1" applyFill="1" applyBorder="1"/>
    <xf numFmtId="0" fontId="43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44" fillId="2" borderId="1" xfId="0" applyFont="1" applyFill="1" applyBorder="1"/>
    <xf numFmtId="9" fontId="45" fillId="2" borderId="1" xfId="0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2" fillId="2" borderId="26" xfId="0" applyFont="1" applyFill="1" applyBorder="1"/>
    <xf numFmtId="0" fontId="31" fillId="12" borderId="27" xfId="0" applyFont="1" applyFill="1" applyBorder="1" applyAlignment="1">
      <alignment horizontal="left" vertical="center"/>
    </xf>
    <xf numFmtId="167" fontId="29" fillId="6" borderId="0" xfId="0" applyNumberFormat="1" applyFont="1" applyFill="1"/>
    <xf numFmtId="0" fontId="29" fillId="6" borderId="1" xfId="0" applyFont="1" applyFill="1" applyBorder="1"/>
    <xf numFmtId="169" fontId="29" fillId="6" borderId="0" xfId="0" applyNumberFormat="1" applyFont="1" applyFill="1"/>
    <xf numFmtId="0" fontId="49" fillId="12" borderId="1" xfId="0" applyFont="1" applyFill="1" applyBorder="1" applyAlignment="1">
      <alignment horizontal="left" vertical="center"/>
    </xf>
    <xf numFmtId="0" fontId="50" fillId="22" borderId="1" xfId="0" applyFont="1" applyFill="1" applyBorder="1" applyAlignment="1">
      <alignment horizontal="center" vertical="center" wrapText="1"/>
    </xf>
    <xf numFmtId="49" fontId="51" fillId="22" borderId="1" xfId="0" applyNumberFormat="1" applyFont="1" applyFill="1" applyBorder="1" applyAlignment="1">
      <alignment horizontal="center" vertical="center"/>
    </xf>
    <xf numFmtId="0" fontId="24" fillId="22" borderId="1" xfId="0" applyFont="1" applyFill="1" applyBorder="1" applyAlignment="1">
      <alignment horizontal="center" vertical="center" wrapText="1"/>
    </xf>
    <xf numFmtId="0" fontId="52" fillId="21" borderId="1" xfId="0" applyFont="1" applyFill="1" applyBorder="1" applyAlignment="1">
      <alignment horizontal="center" vertical="center"/>
    </xf>
    <xf numFmtId="0" fontId="52" fillId="21" borderId="1" xfId="0" applyFont="1" applyFill="1" applyBorder="1" applyAlignment="1">
      <alignment horizontal="left" vertical="center"/>
    </xf>
    <xf numFmtId="0" fontId="53" fillId="2" borderId="1" xfId="0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9" fontId="55" fillId="2" borderId="1" xfId="0" applyNumberFormat="1" applyFont="1" applyFill="1" applyBorder="1" applyAlignment="1">
      <alignment horizontal="center" vertical="center"/>
    </xf>
    <xf numFmtId="170" fontId="55" fillId="2" borderId="1" xfId="0" applyNumberFormat="1" applyFont="1" applyFill="1" applyBorder="1" applyAlignment="1">
      <alignment horizontal="center" vertical="center"/>
    </xf>
    <xf numFmtId="0" fontId="48" fillId="3" borderId="6" xfId="0" applyFont="1" applyFill="1" applyBorder="1" applyAlignment="1">
      <alignment horizontal="center" vertical="center"/>
    </xf>
    <xf numFmtId="0" fontId="48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48" fillId="3" borderId="9" xfId="0" applyFont="1" applyFill="1" applyBorder="1" applyAlignment="1">
      <alignment horizontal="center" vertical="center"/>
    </xf>
    <xf numFmtId="0" fontId="48" fillId="3" borderId="10" xfId="0" applyFont="1" applyFill="1" applyBorder="1" applyAlignment="1">
      <alignment horizontal="center" vertical="center"/>
    </xf>
    <xf numFmtId="0" fontId="48" fillId="3" borderId="11" xfId="0" applyFont="1" applyFill="1" applyBorder="1" applyAlignment="1">
      <alignment horizontal="center" vertical="center"/>
    </xf>
    <xf numFmtId="1" fontId="44" fillId="2" borderId="26" xfId="0" applyNumberFormat="1" applyFont="1" applyFill="1" applyBorder="1"/>
    <xf numFmtId="0" fontId="50" fillId="19" borderId="1" xfId="0" applyFont="1" applyFill="1" applyBorder="1" applyAlignment="1">
      <alignment horizontal="left" vertical="center"/>
    </xf>
    <xf numFmtId="0" fontId="3" fillId="2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2" fillId="19" borderId="1" xfId="0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57" fillId="3" borderId="1" xfId="0" applyFont="1" applyFill="1" applyBorder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9" fontId="58" fillId="3" borderId="1" xfId="0" applyNumberFormat="1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7200</c:v>
                </c:pt>
                <c:pt idx="1">
                  <c:v>4450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Financeiro</c:v>
          </c:tx>
          <c:invertIfNegative val="0"/>
          <c:dLbls>
            <c:numFmt formatCode="\R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7200</c:v>
              </c:pt>
              <c:pt idx="1">
                <c:v>4450</c:v>
              </c:pt>
            </c:numLit>
          </c:val>
          <c:extLst>
            <c:ext xmlns:c16="http://schemas.microsoft.com/office/drawing/2014/chart" uri="{C3380CC4-5D6E-409C-BE32-E72D297353CC}">
              <c16:uniqueId val="{0000000D-4399-414E-99D3-BB174A2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711"/>
        <c:axId val="1963541071"/>
      </c:barChart>
      <c:catAx>
        <c:axId val="205711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963541071"/>
        <c:crosses val="autoZero"/>
        <c:auto val="1"/>
        <c:lblAlgn val="ctr"/>
        <c:lblOffset val="100"/>
        <c:noMultiLvlLbl val="0"/>
      </c:catAx>
      <c:valAx>
        <c:axId val="1963541071"/>
        <c:scaling>
          <c:orientation val="minMax"/>
          <c:max val="10000"/>
          <c:min val="0"/>
        </c:scaling>
        <c:delete val="0"/>
        <c:axPos val="l"/>
        <c:majorGridlines>
          <c:spPr>
            <a:ln>
              <a:solidFill>
                <a:srgbClr val="DCE2E6"/>
              </a:solidFill>
            </a:ln>
          </c:spPr>
        </c:majorGridlines>
        <c:numFmt formatCode="\R&quot;R$&quot;\ 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2057115711"/>
        <c:crosses val="autoZero"/>
        <c:crossBetween val="between"/>
        <c:majorUnit val="20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rgbClr val="3498DB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AB94-489C-91B0-9736B1839FE8}"/>
              </c:ext>
            </c:extLst>
          </c:dPt>
          <c:dPt>
            <c:idx val="1"/>
            <c:bubble3D val="0"/>
            <c:spPr>
              <a:solidFill>
                <a:srgbClr val="2ECC7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AB94-489C-91B0-9736B1839FE8}"/>
              </c:ext>
            </c:extLst>
          </c:dPt>
          <c:dPt>
            <c:idx val="2"/>
            <c:bubble3D val="0"/>
            <c:spPr>
              <a:solidFill>
                <a:srgbClr val="F1C40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AB94-489C-91B0-9736B1839F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-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Alimentação</c:v>
              </c:pt>
              <c:pt idx="1">
                <c:v>Contas</c:v>
              </c:pt>
              <c:pt idx="2">
                <c:v>Transporte</c:v>
              </c:pt>
            </c:strLit>
          </c:cat>
          <c:val>
            <c:numLit>
              <c:formatCode>General</c:formatCode>
              <c:ptCount val="3"/>
              <c:pt idx="0">
                <c:v>300</c:v>
              </c:pt>
              <c:pt idx="1">
                <c:v>200</c:v>
              </c:pt>
              <c:pt idx="2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9-AB94-489C-91B0-9736B1839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Dashboard_V2!$Q$50</c:f>
              <c:strCache>
                <c:ptCount val="1"/>
                <c:pt idx="0">
                  <c:v>Saldo</c:v>
                </c:pt>
              </c:strCache>
            </c:strRef>
          </c:tx>
          <c:spPr>
            <a:ln w="31750">
              <a:solidFill>
                <a:srgbClr val="3498DB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498DB"/>
                </a:solidFill>
                <a:prstDash val="solid"/>
              </a:ln>
            </c:spPr>
          </c:marker>
          <c:dLbls>
            <c:numFmt formatCode="&quot;R$ &quot;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Dashboard_V2!$P$51:$P$52</c:f>
              <c:numCache>
                <c:formatCode>mmm/yyyy</c:formatCode>
                <c:ptCount val="2"/>
                <c:pt idx="0">
                  <c:v>46235</c:v>
                </c:pt>
                <c:pt idx="1">
                  <c:v>46266</c:v>
                </c:pt>
              </c:numCache>
            </c:numRef>
          </c:cat>
          <c:val>
            <c:numRef>
              <c:f>Dashboard_V2!$Q$51:$Q$52</c:f>
              <c:numCache>
                <c:formatCode>mmm/\y\y\y\y</c:formatCode>
                <c:ptCount val="2"/>
                <c:pt idx="0">
                  <c:v>3600</c:v>
                </c:pt>
                <c:pt idx="1">
                  <c:v>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6-4D87-B6B0-41CEF2379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3871"/>
        <c:axId val="1963539631"/>
      </c:lineChart>
      <c:dateAx>
        <c:axId val="60943871"/>
        <c:scaling>
          <c:orientation val="minMax"/>
        </c:scaling>
        <c:delete val="0"/>
        <c:axPos val="b"/>
        <c:numFmt formatCode="mmm/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1963539631"/>
        <c:crosses val="autoZero"/>
        <c:auto val="1"/>
        <c:lblOffset val="100"/>
        <c:baseTimeUnit val="months"/>
      </c:dateAx>
      <c:valAx>
        <c:axId val="1963539631"/>
        <c:scaling>
          <c:orientation val="minMax"/>
        </c:scaling>
        <c:delete val="0"/>
        <c:axPos val="l"/>
        <c:majorGridlines>
          <c:spPr>
            <a:ln>
              <a:solidFill>
                <a:srgbClr val="E1E6EB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60943871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91E1BC5F-73AB-BBA4-2A2F-30CBACC53E01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D1139D09-1E0D-86E7-8CB1-D8C2CCD86168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2F4E09FA-A295-B7C1-6D46-6D10469C2322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D2FAC797-31C9-E9CC-4939-1496D25CC1CC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905B343E-099F-D0AB-325E-51A965201B6E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2C7CE24E-E32C-6523-774D-E48F8E6AC9A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EB13A6DE-8B91-0F8E-3BE6-5E0C868E0C37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7FAB09A2-D792-79CF-9FCE-19B71B622255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6DAB3E14-B5BC-6476-A472-603F07B747FA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B91D9120-D000-96E1-EA3A-BCE2FB633CE2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9BD31E1D-BD93-02CE-1FE3-085BE8188A91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074C3767-4637-13C2-7CC1-6220D508F2E1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10" name="SFE_V2_PERSONAGEM_FUNDO">
          <a:extLst>
            <a:ext uri="{FF2B5EF4-FFF2-40B4-BE49-F238E27FC236}">
              <a16:creationId xmlns:a16="http://schemas.microsoft.com/office/drawing/2014/main" id="{A909368F-EF23-8ADA-D90B-1A1D548B0635}"/>
            </a:ext>
          </a:extLst>
        </xdr:cNvPr>
        <xdr:cNvSpPr/>
      </xdr:nvSpPr>
      <xdr:spPr>
        <a:xfrm>
          <a:off x="7029450" y="3124200"/>
          <a:ext cx="5886450" cy="3590925"/>
        </a:xfrm>
        <a:prstGeom prst="roundRect">
          <a:avLst>
            <a:gd name="adj" fmla="val 8000"/>
          </a:avLst>
        </a:prstGeom>
        <a:solidFill>
          <a:srgbClr val="F8FAFC"/>
        </a:solidFill>
        <a:ln w="12700">
          <a:solidFill>
            <a:srgbClr val="E1E7E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9" name="chtV2ReceitasDespesas">
          <a:extLst>
            <a:ext uri="{FF2B5EF4-FFF2-40B4-BE49-F238E27FC236}">
              <a16:creationId xmlns:a16="http://schemas.microsoft.com/office/drawing/2014/main" id="{7C44FB6A-61B9-77FC-48F8-A263F071C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282575</xdr:colOff>
      <xdr:row>12</xdr:row>
      <xdr:rowOff>104775</xdr:rowOff>
    </xdr:from>
    <xdr:to>
      <xdr:col>11</xdr:col>
      <xdr:colOff>727075</xdr:colOff>
      <xdr:row>14</xdr:row>
      <xdr:rowOff>161925</xdr:rowOff>
    </xdr:to>
    <xdr:sp macro="" textlink="">
      <xdr:nvSpPr>
        <xdr:cNvPr id="11" name="SFE_V2_PERSONAGEM_ORELHA1">
          <a:extLst>
            <a:ext uri="{FF2B5EF4-FFF2-40B4-BE49-F238E27FC236}">
              <a16:creationId xmlns:a16="http://schemas.microsoft.com/office/drawing/2014/main" id="{B4B03ACF-367F-43EE-7BE1-8A55348A29E6}"/>
            </a:ext>
          </a:extLst>
        </xdr:cNvPr>
        <xdr:cNvSpPr/>
      </xdr:nvSpPr>
      <xdr:spPr>
        <a:xfrm rot="-1080000">
          <a:off x="92741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104775</xdr:rowOff>
    </xdr:from>
    <xdr:to>
      <xdr:col>12</xdr:col>
      <xdr:colOff>698500</xdr:colOff>
      <xdr:row>14</xdr:row>
      <xdr:rowOff>161925</xdr:rowOff>
    </xdr:to>
    <xdr:sp macro="" textlink="">
      <xdr:nvSpPr>
        <xdr:cNvPr id="12" name="SFE_V2_PERSONAGEM_ORELHA2">
          <a:extLst>
            <a:ext uri="{FF2B5EF4-FFF2-40B4-BE49-F238E27FC236}">
              <a16:creationId xmlns:a16="http://schemas.microsoft.com/office/drawing/2014/main" id="{0C5527A4-061C-9BA4-6324-F90C4EE4B14B}"/>
            </a:ext>
          </a:extLst>
        </xdr:cNvPr>
        <xdr:cNvSpPr/>
      </xdr:nvSpPr>
      <xdr:spPr>
        <a:xfrm rot="1080000">
          <a:off x="102266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244475</xdr:colOff>
      <xdr:row>13</xdr:row>
      <xdr:rowOff>82550</xdr:rowOff>
    </xdr:from>
    <xdr:to>
      <xdr:col>12</xdr:col>
      <xdr:colOff>736600</xdr:colOff>
      <xdr:row>18</xdr:row>
      <xdr:rowOff>73025</xdr:rowOff>
    </xdr:to>
    <xdr:sp macro="" textlink="">
      <xdr:nvSpPr>
        <xdr:cNvPr id="13" name="SFE_V2_PERSONAGEM_CABEA">
          <a:extLst>
            <a:ext uri="{FF2B5EF4-FFF2-40B4-BE49-F238E27FC236}">
              <a16:creationId xmlns:a16="http://schemas.microsoft.com/office/drawing/2014/main" id="{F929AA7B-0D4F-141D-D80C-216D97118F27}"/>
            </a:ext>
          </a:extLst>
        </xdr:cNvPr>
        <xdr:cNvSpPr/>
      </xdr:nvSpPr>
      <xdr:spPr>
        <a:xfrm>
          <a:off x="9236075" y="3759200"/>
          <a:ext cx="1473200" cy="1371600"/>
        </a:xfrm>
        <a:prstGeom prst="ellipse">
          <a:avLst/>
        </a:prstGeom>
        <a:solidFill>
          <a:srgbClr val="F5E2C9"/>
        </a:solidFill>
        <a:ln w="1651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574675</xdr:colOff>
      <xdr:row>15</xdr:row>
      <xdr:rowOff>0</xdr:rowOff>
    </xdr:from>
    <xdr:to>
      <xdr:col>11</xdr:col>
      <xdr:colOff>752475</xdr:colOff>
      <xdr:row>15</xdr:row>
      <xdr:rowOff>228600</xdr:rowOff>
    </xdr:to>
    <xdr:sp macro="" textlink="">
      <xdr:nvSpPr>
        <xdr:cNvPr id="14" name="SFE_V2_PERSONAGEM_OLHO1">
          <a:extLst>
            <a:ext uri="{FF2B5EF4-FFF2-40B4-BE49-F238E27FC236}">
              <a16:creationId xmlns:a16="http://schemas.microsoft.com/office/drawing/2014/main" id="{660A39A9-8FE3-7DF8-20D8-B25ADF54EF4A}"/>
            </a:ext>
          </a:extLst>
        </xdr:cNvPr>
        <xdr:cNvSpPr/>
      </xdr:nvSpPr>
      <xdr:spPr>
        <a:xfrm>
          <a:off x="9566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228600</xdr:colOff>
      <xdr:row>15</xdr:row>
      <xdr:rowOff>0</xdr:rowOff>
    </xdr:from>
    <xdr:to>
      <xdr:col>12</xdr:col>
      <xdr:colOff>406400</xdr:colOff>
      <xdr:row>15</xdr:row>
      <xdr:rowOff>228600</xdr:rowOff>
    </xdr:to>
    <xdr:sp macro="" textlink="">
      <xdr:nvSpPr>
        <xdr:cNvPr id="15" name="SFE_V2_PERSONAGEM_OLHO2">
          <a:extLst>
            <a:ext uri="{FF2B5EF4-FFF2-40B4-BE49-F238E27FC236}">
              <a16:creationId xmlns:a16="http://schemas.microsoft.com/office/drawing/2014/main" id="{B6A6BC7C-6351-1101-A5AF-601C34A2CF25}"/>
            </a:ext>
          </a:extLst>
        </xdr:cNvPr>
        <xdr:cNvSpPr/>
      </xdr:nvSpPr>
      <xdr:spPr>
        <a:xfrm>
          <a:off x="10201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892175</xdr:colOff>
      <xdr:row>15</xdr:row>
      <xdr:rowOff>266700</xdr:rowOff>
    </xdr:from>
    <xdr:to>
      <xdr:col>12</xdr:col>
      <xdr:colOff>88900</xdr:colOff>
      <xdr:row>16</xdr:row>
      <xdr:rowOff>117475</xdr:rowOff>
    </xdr:to>
    <xdr:sp macro="" textlink="">
      <xdr:nvSpPr>
        <xdr:cNvPr id="16" name="SFE_V2_PERSONAGEM_NARIZ">
          <a:extLst>
            <a:ext uri="{FF2B5EF4-FFF2-40B4-BE49-F238E27FC236}">
              <a16:creationId xmlns:a16="http://schemas.microsoft.com/office/drawing/2014/main" id="{9AAE6B22-090B-4247-B7E7-7FB16E1D372A}"/>
            </a:ext>
          </a:extLst>
        </xdr:cNvPr>
        <xdr:cNvSpPr/>
      </xdr:nvSpPr>
      <xdr:spPr>
        <a:xfrm rot="10800000">
          <a:off x="9883775" y="4495800"/>
          <a:ext cx="177800" cy="127000"/>
        </a:xfrm>
        <a:prstGeom prst="triangle">
          <a:avLst/>
        </a:prstGeom>
        <a:solidFill>
          <a:srgbClr val="DC78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295275</xdr:colOff>
      <xdr:row>16</xdr:row>
      <xdr:rowOff>117475</xdr:rowOff>
    </xdr:from>
    <xdr:to>
      <xdr:col>12</xdr:col>
      <xdr:colOff>228600</xdr:colOff>
      <xdr:row>18</xdr:row>
      <xdr:rowOff>22225</xdr:rowOff>
    </xdr:to>
    <xdr:sp macro="" textlink="">
      <xdr:nvSpPr>
        <xdr:cNvPr id="17" name="SFE_V2_PERSONAGEM_BOCA">
          <a:extLst>
            <a:ext uri="{FF2B5EF4-FFF2-40B4-BE49-F238E27FC236}">
              <a16:creationId xmlns:a16="http://schemas.microsoft.com/office/drawing/2014/main" id="{0CD2F914-44A3-2AB7-7119-ECA440C36D7D}"/>
            </a:ext>
          </a:extLst>
        </xdr:cNvPr>
        <xdr:cNvSpPr/>
      </xdr:nvSpPr>
      <xdr:spPr>
        <a:xfrm>
          <a:off x="9286875" y="4622800"/>
          <a:ext cx="914400" cy="457200"/>
        </a:xfrm>
        <a:prstGeom prst="arc">
          <a:avLst/>
        </a:prstGeom>
        <a:ln w="22860">
          <a:solidFill>
            <a:srgbClr val="64464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444500</xdr:colOff>
      <xdr:row>20</xdr:row>
      <xdr:rowOff>241300</xdr:rowOff>
    </xdr:from>
    <xdr:to>
      <xdr:col>14</xdr:col>
      <xdr:colOff>536575</xdr:colOff>
      <xdr:row>23</xdr:row>
      <xdr:rowOff>22225</xdr:rowOff>
    </xdr:to>
    <xdr:sp macro="" textlink="">
      <xdr:nvSpPr>
        <xdr:cNvPr id="18" name="SFE_V2_PERSONAGEM_MENSAGEM">
          <a:extLst>
            <a:ext uri="{FF2B5EF4-FFF2-40B4-BE49-F238E27FC236}">
              <a16:creationId xmlns:a16="http://schemas.microsoft.com/office/drawing/2014/main" id="{BC6BCF19-B716-16E4-2617-7455DD1FDE45}"/>
            </a:ext>
          </a:extLst>
        </xdr:cNvPr>
        <xdr:cNvSpPr/>
      </xdr:nvSpPr>
      <xdr:spPr>
        <a:xfrm>
          <a:off x="7473950" y="5851525"/>
          <a:ext cx="4997450" cy="609600"/>
        </a:xfrm>
        <a:prstGeom prst="roundRect">
          <a:avLst/>
        </a:prstGeom>
        <a:solidFill>
          <a:srgbClr val="FFFFFF"/>
        </a:solidFill>
        <a:ln w="12700">
          <a:solidFill>
            <a:srgbClr val="DCE2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rgbClr val="1E374B"/>
              </a:solidFill>
              <a:latin typeface="Aptos" panose="020B0004020202020204" pitchFamily="34" charset="0"/>
            </a:rPr>
            <a:t>Você está no caminho certo!</a:t>
          </a:r>
        </a:p>
        <a:p>
          <a:pPr algn="ctr"/>
          <a:r>
            <a:rPr lang="pt-BR" sz="900">
              <a:solidFill>
                <a:srgbClr val="1E374B"/>
              </a:solidFill>
              <a:latin typeface="Aptos" panose="020B0004020202020204" pitchFamily="34" charset="0"/>
            </a:rPr>
            <a:t>Continue acompanhando suas finanças.</a:t>
          </a: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19" name="chtV2DistribuicaoDespesas">
          <a:extLst>
            <a:ext uri="{FF2B5EF4-FFF2-40B4-BE49-F238E27FC236}">
              <a16:creationId xmlns:a16="http://schemas.microsoft.com/office/drawing/2014/main" id="{CACC8825-7723-21C6-4212-A2BB0AC26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50</xdr:row>
      <xdr:rowOff>0</xdr:rowOff>
    </xdr:from>
    <xdr:to>
      <xdr:col>14</xdr:col>
      <xdr:colOff>0</xdr:colOff>
      <xdr:row>67</xdr:row>
      <xdr:rowOff>6350</xdr:rowOff>
    </xdr:to>
    <xdr:graphicFrame macro="">
      <xdr:nvGraphicFramePr>
        <xdr:cNvPr id="21" name="chtV2EvolucaoSaldo">
          <a:extLst>
            <a:ext uri="{FF2B5EF4-FFF2-40B4-BE49-F238E27FC236}">
              <a16:creationId xmlns:a16="http://schemas.microsoft.com/office/drawing/2014/main" id="{3FA79893-5513-8D7B-B8F2-5F3ECA53E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6" totalsRowShown="0">
  <autoFilter ref="A1:K6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45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46" t="s">
        <v>97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47" t="s">
        <v>64</v>
      </c>
      <c r="B4" s="47"/>
      <c r="C4" s="47"/>
      <c r="D4" s="50" t="s">
        <v>65</v>
      </c>
      <c r="E4" s="50"/>
      <c r="F4" s="50"/>
      <c r="G4" s="52" t="s">
        <v>78</v>
      </c>
      <c r="H4" s="52"/>
      <c r="I4" s="52"/>
      <c r="J4" s="54" t="s">
        <v>66</v>
      </c>
      <c r="K4" s="54"/>
      <c r="L4" s="54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48">
        <f>SUMIF(Lançamentos!C:C,"Receita",Lançamentos!F:F)</f>
        <v>7200</v>
      </c>
      <c r="B5" s="48"/>
      <c r="C5" s="48"/>
      <c r="D5" s="51">
        <f>SUMIF(Lançamentos!C:C,"Despesa",Lançamentos!F:F)</f>
        <v>4450</v>
      </c>
      <c r="E5" s="51"/>
      <c r="F5" s="51"/>
      <c r="G5" s="53">
        <f t="shared" ref="G5" si="0">B12-B13</f>
        <v>2750</v>
      </c>
      <c r="H5" s="53"/>
      <c r="I5" s="53"/>
      <c r="J5" s="55">
        <f>COUNTA(Lançamentos!B:B)-1</f>
        <v>5</v>
      </c>
      <c r="K5" s="55"/>
      <c r="L5" s="5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48"/>
      <c r="B6" s="48"/>
      <c r="C6" s="48"/>
      <c r="D6" s="51"/>
      <c r="E6" s="51"/>
      <c r="F6" s="51"/>
      <c r="G6" s="53"/>
      <c r="H6" s="53"/>
      <c r="I6" s="53"/>
      <c r="J6" s="55"/>
      <c r="K6" s="55"/>
      <c r="L6" s="5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7" t="s">
        <v>67</v>
      </c>
      <c r="B9" s="17"/>
      <c r="C9" s="17"/>
      <c r="D9" s="17"/>
      <c r="F9" s="17" t="s">
        <v>72</v>
      </c>
      <c r="G9" s="17"/>
      <c r="H9" s="17"/>
      <c r="I9" s="17"/>
      <c r="J9" s="17"/>
      <c r="K9" s="17"/>
      <c r="L9" s="17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62"/>
      <c r="B10" s="62"/>
      <c r="G10" s="62"/>
      <c r="H10" s="62"/>
      <c r="I10" s="62"/>
      <c r="J10" s="62"/>
      <c r="K10" s="62"/>
      <c r="L10" s="62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56" t="s">
        <v>73</v>
      </c>
      <c r="B11" s="56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57" t="s">
        <v>68</v>
      </c>
      <c r="B12" s="58">
        <f>SUMIF(Lançamentos!C:C,"Receita",Lançamentos!F:F)</f>
        <v>7200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57" t="s">
        <v>69</v>
      </c>
      <c r="B13" s="59">
        <f>SUMIF(Lançamentos!C:C,"Despesa",Lançamentos!F:F)</f>
        <v>4450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57" t="s">
        <v>70</v>
      </c>
      <c r="B14" s="60">
        <f>B12-B13</f>
        <v>2750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57" t="s">
        <v>71</v>
      </c>
      <c r="B15" s="61">
        <f>COUNTA(Lançamentos!B:B)-1</f>
        <v>5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7" t="s">
        <v>77</v>
      </c>
      <c r="B17" s="17"/>
      <c r="C17" s="17"/>
      <c r="D17" s="17"/>
      <c r="F17" s="18" t="s">
        <v>81</v>
      </c>
      <c r="G17" s="18"/>
      <c r="H17" s="18"/>
      <c r="I17" s="18"/>
      <c r="J17" s="19" t="s">
        <v>79</v>
      </c>
      <c r="K17" s="20"/>
      <c r="L17" s="21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43" t="s">
        <v>80</v>
      </c>
      <c r="B18" s="43"/>
      <c r="C18" s="43"/>
      <c r="D18" s="43"/>
      <c r="F18" s="13" t="s">
        <v>68</v>
      </c>
      <c r="G18" s="14">
        <v>3600</v>
      </c>
      <c r="H18" s="10"/>
      <c r="I18" s="10"/>
      <c r="J18" s="22"/>
      <c r="K18" s="23"/>
      <c r="L18" s="24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43"/>
      <c r="B19" s="43"/>
      <c r="C19" s="43"/>
      <c r="D19" s="43"/>
      <c r="F19" s="13" t="s">
        <v>69</v>
      </c>
      <c r="G19" s="14">
        <v>0</v>
      </c>
      <c r="H19" s="10"/>
      <c r="I19" s="10"/>
      <c r="J19" s="25">
        <v>0.95</v>
      </c>
      <c r="K19" s="26"/>
      <c r="L19" s="27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43"/>
      <c r="B20" s="43"/>
      <c r="C20" s="43"/>
      <c r="D20" s="43"/>
      <c r="F20" s="13" t="s">
        <v>70</v>
      </c>
      <c r="G20" s="14">
        <v>3600</v>
      </c>
      <c r="H20" s="10"/>
      <c r="I20" s="10"/>
      <c r="J20" s="28"/>
      <c r="K20" s="29"/>
      <c r="L20" s="30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43"/>
      <c r="B21" s="43"/>
      <c r="C21" s="43"/>
      <c r="D21" s="43"/>
      <c r="F21" s="13" t="s">
        <v>82</v>
      </c>
      <c r="G21" s="15">
        <v>1</v>
      </c>
      <c r="H21" s="10"/>
      <c r="I21" s="10"/>
      <c r="J21" s="31"/>
      <c r="K21" s="32"/>
      <c r="L21" s="33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43"/>
      <c r="B22" s="43"/>
      <c r="C22" s="43"/>
      <c r="D22" s="43"/>
      <c r="F22" s="10"/>
      <c r="G22" s="10"/>
      <c r="H22" s="10"/>
      <c r="I22" s="10"/>
      <c r="J22" s="34" t="s">
        <v>83</v>
      </c>
      <c r="K22" s="35"/>
      <c r="L22" s="36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43"/>
      <c r="B23" s="43"/>
      <c r="C23" s="43"/>
      <c r="D23" s="43"/>
      <c r="F23" s="10"/>
      <c r="G23" s="10"/>
      <c r="H23" s="10"/>
      <c r="I23" s="10"/>
      <c r="J23" s="37" t="s">
        <v>84</v>
      </c>
      <c r="K23" s="38"/>
      <c r="L23" s="39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43"/>
      <c r="B24" s="43"/>
      <c r="C24" s="43"/>
      <c r="D24" s="43"/>
      <c r="F24" s="10"/>
      <c r="G24" s="10"/>
      <c r="H24" s="10"/>
      <c r="I24" s="10"/>
      <c r="J24" s="40"/>
      <c r="K24" s="41"/>
      <c r="L24" s="42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8" t="s">
        <v>74</v>
      </c>
      <c r="B27" s="18"/>
      <c r="C27" s="18"/>
      <c r="D27" s="18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AB77"/>
  <sheetViews>
    <sheetView showGridLines="0" tabSelected="1" topLeftCell="A23" zoomScale="60" zoomScaleNormal="60" workbookViewId="0">
      <selection activeCell="B75" sqref="B75:M77"/>
    </sheetView>
  </sheetViews>
  <sheetFormatPr defaultRowHeight="13.5" x14ac:dyDescent="0.25"/>
  <cols>
    <col min="1" max="1" width="5.7109375" style="63" customWidth="1"/>
    <col min="2" max="15" width="14.7109375" style="63" customWidth="1"/>
    <col min="16" max="16" width="13.140625" style="63" hidden="1" customWidth="1"/>
    <col min="17" max="18" width="0" style="63" hidden="1" customWidth="1"/>
    <col min="19" max="16384" width="9.140625" style="63"/>
  </cols>
  <sheetData>
    <row r="1" spans="1:28" ht="26.1" customHeight="1" x14ac:dyDescent="0.25">
      <c r="A1" s="64"/>
      <c r="B1" s="64"/>
      <c r="C1" s="64"/>
      <c r="D1" s="122" t="s">
        <v>0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Q1" s="63" t="s">
        <v>4</v>
      </c>
      <c r="R1" s="63" t="s">
        <v>6</v>
      </c>
      <c r="AA1" s="63" t="s">
        <v>4</v>
      </c>
      <c r="AB1" s="63" t="s">
        <v>6</v>
      </c>
    </row>
    <row r="2" spans="1:28" ht="26.1" customHeight="1" x14ac:dyDescent="0.25">
      <c r="A2" s="65" t="s">
        <v>99</v>
      </c>
      <c r="B2" s="65"/>
      <c r="C2" s="65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Q2" s="144" t="s">
        <v>21</v>
      </c>
      <c r="R2" s="63">
        <v>300</v>
      </c>
      <c r="AA2" s="63" t="s">
        <v>21</v>
      </c>
      <c r="AB2" s="63">
        <v>4000</v>
      </c>
    </row>
    <row r="3" spans="1:28" ht="26.1" customHeight="1" x14ac:dyDescent="0.25">
      <c r="A3" s="65"/>
      <c r="B3" s="65"/>
      <c r="C3" s="65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Q3" s="144" t="s">
        <v>28</v>
      </c>
      <c r="R3" s="63">
        <v>200</v>
      </c>
      <c r="AA3" s="63" t="s">
        <v>28</v>
      </c>
      <c r="AB3" s="63">
        <v>200</v>
      </c>
    </row>
    <row r="4" spans="1:28" ht="18" customHeight="1" x14ac:dyDescent="0.25">
      <c r="A4" s="65"/>
      <c r="B4" s="65"/>
      <c r="C4" s="65"/>
      <c r="D4" s="123" t="s">
        <v>98</v>
      </c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Q4" s="144" t="s">
        <v>24</v>
      </c>
      <c r="R4" s="63">
        <v>250</v>
      </c>
      <c r="AA4" s="63" t="s">
        <v>24</v>
      </c>
      <c r="AB4" s="63">
        <v>250</v>
      </c>
    </row>
    <row r="5" spans="1:28" ht="24" customHeight="1" x14ac:dyDescent="0.25">
      <c r="A5" s="64"/>
      <c r="B5" s="64"/>
      <c r="C5" s="64"/>
      <c r="D5" s="69" t="s">
        <v>64</v>
      </c>
      <c r="E5" s="70"/>
      <c r="F5" s="71"/>
      <c r="G5" s="82" t="s">
        <v>65</v>
      </c>
      <c r="H5" s="83"/>
      <c r="I5" s="84"/>
      <c r="J5" s="95" t="s">
        <v>78</v>
      </c>
      <c r="K5" s="96"/>
      <c r="L5" s="97"/>
      <c r="M5" s="108" t="s">
        <v>66</v>
      </c>
      <c r="N5" s="109"/>
      <c r="O5" s="110"/>
      <c r="Q5" s="144"/>
    </row>
    <row r="6" spans="1:28" ht="24" customHeight="1" x14ac:dyDescent="0.25">
      <c r="A6" s="66" t="s">
        <v>100</v>
      </c>
      <c r="B6" s="66"/>
      <c r="C6" s="66"/>
      <c r="D6" s="72"/>
      <c r="E6" s="73"/>
      <c r="F6" s="74"/>
      <c r="G6" s="85"/>
      <c r="H6" s="86"/>
      <c r="I6" s="87"/>
      <c r="J6" s="98"/>
      <c r="K6" s="99"/>
      <c r="L6" s="100"/>
      <c r="M6" s="111"/>
      <c r="N6" s="112"/>
      <c r="O6" s="113"/>
      <c r="Q6" s="144"/>
    </row>
    <row r="7" spans="1:28" ht="24" customHeight="1" x14ac:dyDescent="0.25">
      <c r="A7" s="66"/>
      <c r="B7" s="66"/>
      <c r="C7" s="66"/>
      <c r="D7" s="75">
        <f>Dashboard!B12</f>
        <v>7200</v>
      </c>
      <c r="E7" s="76"/>
      <c r="F7" s="77"/>
      <c r="G7" s="88">
        <f>Dashboard!B13</f>
        <v>4450</v>
      </c>
      <c r="H7" s="89"/>
      <c r="I7" s="90"/>
      <c r="J7" s="101">
        <f>Dashboard!B14</f>
        <v>2750</v>
      </c>
      <c r="K7" s="102"/>
      <c r="L7" s="103"/>
      <c r="M7" s="114">
        <f>Dashboard!B15</f>
        <v>5</v>
      </c>
      <c r="N7" s="115"/>
      <c r="O7" s="116"/>
      <c r="Q7" s="144"/>
    </row>
    <row r="8" spans="1:28" ht="24" customHeight="1" x14ac:dyDescent="0.25">
      <c r="A8" s="64"/>
      <c r="B8" s="64"/>
      <c r="C8" s="64"/>
      <c r="D8" s="78"/>
      <c r="E8" s="79"/>
      <c r="F8" s="80"/>
      <c r="G8" s="91"/>
      <c r="H8" s="92"/>
      <c r="I8" s="93"/>
      <c r="J8" s="104"/>
      <c r="K8" s="105"/>
      <c r="L8" s="106"/>
      <c r="M8" s="117"/>
      <c r="N8" s="118"/>
      <c r="O8" s="119"/>
      <c r="Q8" s="144"/>
    </row>
    <row r="9" spans="1:28" ht="24" customHeight="1" x14ac:dyDescent="0.25">
      <c r="A9" s="67" t="s">
        <v>71</v>
      </c>
      <c r="B9" s="67"/>
      <c r="C9" s="67"/>
      <c r="D9" s="68"/>
      <c r="E9" s="68"/>
      <c r="F9" s="68"/>
      <c r="G9" s="81"/>
      <c r="H9" s="81"/>
      <c r="I9" s="81"/>
      <c r="J9" s="94"/>
      <c r="K9" s="94"/>
      <c r="L9" s="94"/>
      <c r="M9" s="107"/>
      <c r="N9" s="107"/>
      <c r="O9" s="107"/>
      <c r="Q9" s="144"/>
    </row>
    <row r="10" spans="1:28" ht="9.9499999999999993" customHeight="1" x14ac:dyDescent="0.25">
      <c r="A10" s="67"/>
      <c r="B10" s="67"/>
      <c r="C10" s="67"/>
      <c r="Q10" s="144"/>
    </row>
    <row r="11" spans="1:28" ht="21.95" customHeight="1" x14ac:dyDescent="0.25">
      <c r="A11" s="64"/>
      <c r="B11" s="64"/>
      <c r="C11" s="64"/>
      <c r="Q11" s="144"/>
    </row>
    <row r="12" spans="1:28" ht="21.95" customHeight="1" x14ac:dyDescent="0.25">
      <c r="A12" s="67" t="s">
        <v>68</v>
      </c>
      <c r="B12" s="67"/>
      <c r="C12" s="67"/>
      <c r="D12" s="124" t="s">
        <v>104</v>
      </c>
      <c r="E12" s="125"/>
      <c r="F12" s="125"/>
      <c r="G12" s="125"/>
      <c r="H12" s="125"/>
      <c r="I12" s="126"/>
      <c r="J12" s="120" t="s">
        <v>105</v>
      </c>
      <c r="K12" s="120"/>
      <c r="L12" s="120"/>
      <c r="M12" s="120"/>
      <c r="N12" s="120"/>
      <c r="O12" s="120"/>
      <c r="Q12" s="144"/>
    </row>
    <row r="13" spans="1:28" ht="21.95" customHeight="1" x14ac:dyDescent="0.25">
      <c r="A13" s="67"/>
      <c r="B13" s="67"/>
      <c r="C13" s="67"/>
      <c r="D13" s="121"/>
      <c r="E13" s="121"/>
      <c r="F13" s="121"/>
      <c r="G13" s="121"/>
      <c r="H13" s="121"/>
      <c r="I13" s="121"/>
      <c r="J13" s="120"/>
      <c r="K13" s="120"/>
      <c r="L13" s="120"/>
      <c r="M13" s="120"/>
      <c r="N13" s="120"/>
      <c r="O13" s="120"/>
      <c r="Q13" s="144"/>
    </row>
    <row r="14" spans="1:28" ht="21.95" customHeight="1" x14ac:dyDescent="0.25">
      <c r="A14" s="64"/>
      <c r="B14" s="64"/>
      <c r="C14" s="64"/>
      <c r="D14" s="121"/>
      <c r="E14" s="121"/>
      <c r="F14" s="121"/>
      <c r="G14" s="121"/>
      <c r="H14" s="121"/>
      <c r="I14" s="121"/>
      <c r="J14" s="120"/>
      <c r="K14" s="120"/>
      <c r="L14" s="120"/>
      <c r="M14" s="120"/>
      <c r="N14" s="120"/>
      <c r="O14" s="120"/>
      <c r="Q14" s="144"/>
    </row>
    <row r="15" spans="1:28" ht="21.95" customHeight="1" x14ac:dyDescent="0.25">
      <c r="A15" s="67" t="s">
        <v>69</v>
      </c>
      <c r="B15" s="67"/>
      <c r="C15" s="67"/>
      <c r="D15" s="121"/>
      <c r="E15" s="121"/>
      <c r="F15" s="121"/>
      <c r="G15" s="121"/>
      <c r="H15" s="121"/>
      <c r="I15" s="121"/>
      <c r="J15" s="120"/>
      <c r="K15" s="120"/>
      <c r="L15" s="120"/>
      <c r="M15" s="120"/>
      <c r="N15" s="120"/>
      <c r="O15" s="120"/>
      <c r="Q15" s="144"/>
    </row>
    <row r="16" spans="1:28" ht="21.95" customHeight="1" x14ac:dyDescent="0.25">
      <c r="A16" s="67"/>
      <c r="B16" s="67"/>
      <c r="C16" s="67"/>
      <c r="D16" s="121"/>
      <c r="E16" s="121"/>
      <c r="F16" s="121"/>
      <c r="G16" s="121"/>
      <c r="H16" s="121"/>
      <c r="I16" s="121"/>
      <c r="J16" s="120"/>
      <c r="K16" s="120"/>
      <c r="L16" s="120"/>
      <c r="M16" s="120"/>
      <c r="N16" s="120"/>
      <c r="O16" s="120"/>
      <c r="Q16" s="144"/>
    </row>
    <row r="17" spans="1:17" ht="21.95" customHeight="1" x14ac:dyDescent="0.25">
      <c r="A17" s="64"/>
      <c r="B17" s="64"/>
      <c r="C17" s="64"/>
      <c r="D17" s="121"/>
      <c r="E17" s="121"/>
      <c r="F17" s="121"/>
      <c r="G17" s="121"/>
      <c r="H17" s="121"/>
      <c r="I17" s="121"/>
      <c r="J17" s="120"/>
      <c r="K17" s="120"/>
      <c r="L17" s="120"/>
      <c r="M17" s="120"/>
      <c r="N17" s="120"/>
      <c r="O17" s="120"/>
      <c r="Q17" s="144"/>
    </row>
    <row r="18" spans="1:17" ht="21.95" customHeight="1" x14ac:dyDescent="0.25">
      <c r="A18" s="67" t="s">
        <v>101</v>
      </c>
      <c r="B18" s="67"/>
      <c r="C18" s="67"/>
      <c r="D18" s="121"/>
      <c r="E18" s="121"/>
      <c r="F18" s="121"/>
      <c r="G18" s="121"/>
      <c r="H18" s="121"/>
      <c r="I18" s="121"/>
      <c r="J18" s="120"/>
      <c r="K18" s="120"/>
      <c r="L18" s="120"/>
      <c r="M18" s="120"/>
      <c r="N18" s="120"/>
      <c r="O18" s="120"/>
      <c r="Q18" s="144"/>
    </row>
    <row r="19" spans="1:17" ht="21.95" customHeight="1" x14ac:dyDescent="0.25">
      <c r="A19" s="67"/>
      <c r="B19" s="67"/>
      <c r="C19" s="67"/>
      <c r="D19" s="121"/>
      <c r="E19" s="121"/>
      <c r="F19" s="121"/>
      <c r="G19" s="121"/>
      <c r="H19" s="121"/>
      <c r="I19" s="121"/>
      <c r="J19" s="120"/>
      <c r="K19" s="120"/>
      <c r="L19" s="120"/>
      <c r="M19" s="120"/>
      <c r="N19" s="120"/>
      <c r="O19" s="120"/>
      <c r="Q19" s="144"/>
    </row>
    <row r="20" spans="1:17" ht="21.95" customHeight="1" x14ac:dyDescent="0.25">
      <c r="A20" s="64"/>
      <c r="B20" s="64"/>
      <c r="C20" s="64"/>
      <c r="D20" s="121"/>
      <c r="E20" s="121"/>
      <c r="F20" s="121"/>
      <c r="G20" s="121"/>
      <c r="H20" s="121"/>
      <c r="I20" s="121"/>
      <c r="J20" s="120"/>
      <c r="K20" s="120"/>
      <c r="L20" s="120"/>
      <c r="M20" s="120"/>
      <c r="N20" s="120"/>
      <c r="O20" s="120"/>
      <c r="Q20" s="144"/>
    </row>
    <row r="21" spans="1:17" ht="21.95" customHeight="1" x14ac:dyDescent="0.25">
      <c r="A21" s="67" t="s">
        <v>102</v>
      </c>
      <c r="B21" s="67"/>
      <c r="C21" s="67"/>
      <c r="D21" s="121"/>
      <c r="E21" s="121"/>
      <c r="F21" s="121"/>
      <c r="G21" s="121"/>
      <c r="H21" s="121"/>
      <c r="I21" s="121"/>
      <c r="J21" s="120"/>
      <c r="K21" s="120"/>
      <c r="L21" s="120"/>
      <c r="M21" s="120"/>
      <c r="N21" s="120"/>
      <c r="O21" s="120"/>
      <c r="Q21" s="144"/>
    </row>
    <row r="22" spans="1:17" ht="21.95" customHeight="1" x14ac:dyDescent="0.25">
      <c r="A22" s="67"/>
      <c r="B22" s="67"/>
      <c r="C22" s="67"/>
      <c r="D22" s="121"/>
      <c r="E22" s="121"/>
      <c r="F22" s="121"/>
      <c r="G22" s="121"/>
      <c r="H22" s="121"/>
      <c r="I22" s="121"/>
      <c r="J22" s="120"/>
      <c r="K22" s="120"/>
      <c r="L22" s="120"/>
      <c r="M22" s="120"/>
      <c r="N22" s="120"/>
      <c r="O22" s="120"/>
      <c r="Q22" s="144"/>
    </row>
    <row r="23" spans="1:17" ht="21.95" customHeight="1" x14ac:dyDescent="0.25">
      <c r="A23" s="64"/>
      <c r="B23" s="64"/>
      <c r="C23" s="64"/>
      <c r="D23" s="121"/>
      <c r="E23" s="121"/>
      <c r="F23" s="121"/>
      <c r="G23" s="121"/>
      <c r="H23" s="121"/>
      <c r="I23" s="121"/>
      <c r="J23" s="120"/>
      <c r="K23" s="120"/>
      <c r="L23" s="120"/>
      <c r="M23" s="120"/>
      <c r="N23" s="120"/>
      <c r="O23" s="120"/>
      <c r="Q23" s="144"/>
    </row>
    <row r="24" spans="1:17" ht="21.95" customHeight="1" x14ac:dyDescent="0.25">
      <c r="A24" s="67" t="s">
        <v>103</v>
      </c>
      <c r="B24" s="67"/>
      <c r="C24" s="67"/>
      <c r="D24" s="121"/>
      <c r="E24" s="121"/>
      <c r="F24" s="121"/>
      <c r="G24" s="121"/>
      <c r="H24" s="121"/>
      <c r="I24" s="121"/>
      <c r="J24" s="120"/>
      <c r="K24" s="120"/>
      <c r="L24" s="120"/>
      <c r="M24" s="120"/>
      <c r="N24" s="120"/>
      <c r="O24" s="120"/>
      <c r="Q24" s="144"/>
    </row>
    <row r="25" spans="1:17" ht="21.95" customHeight="1" x14ac:dyDescent="0.25">
      <c r="A25" s="67"/>
      <c r="B25" s="67"/>
      <c r="C25" s="67"/>
      <c r="Q25" s="144"/>
    </row>
    <row r="26" spans="1:17" ht="24" customHeight="1" x14ac:dyDescent="0.25">
      <c r="A26" s="64"/>
      <c r="B26" s="64"/>
      <c r="C26" s="64"/>
      <c r="D26" s="127" t="s">
        <v>74</v>
      </c>
      <c r="E26" s="128"/>
      <c r="F26" s="128"/>
      <c r="G26" s="128"/>
      <c r="H26" s="162" t="s">
        <v>113</v>
      </c>
      <c r="I26" s="162"/>
      <c r="J26" s="162"/>
      <c r="K26" s="162"/>
      <c r="L26" s="162"/>
      <c r="M26" s="162"/>
      <c r="N26" s="162"/>
      <c r="O26" s="162"/>
      <c r="Q26" s="144"/>
    </row>
    <row r="27" spans="1:17" ht="21.95" customHeight="1" x14ac:dyDescent="0.25">
      <c r="A27" s="64"/>
      <c r="B27" s="64"/>
      <c r="C27" s="64"/>
      <c r="D27" s="129"/>
      <c r="E27" s="129"/>
      <c r="F27" s="129"/>
      <c r="G27" s="129"/>
      <c r="H27" s="164"/>
      <c r="I27" s="165"/>
      <c r="J27" s="165"/>
      <c r="K27" s="165"/>
      <c r="L27" s="165"/>
      <c r="M27" s="165"/>
      <c r="N27" s="165"/>
      <c r="O27" s="166"/>
      <c r="Q27" s="144"/>
    </row>
    <row r="28" spans="1:17" ht="21.95" customHeight="1" x14ac:dyDescent="0.25">
      <c r="A28" s="64"/>
      <c r="B28" s="64"/>
      <c r="C28" s="64"/>
      <c r="D28" s="129"/>
      <c r="E28" s="129"/>
      <c r="F28" s="129"/>
      <c r="G28" s="129"/>
      <c r="H28" s="164"/>
      <c r="I28" s="167" t="s">
        <v>110</v>
      </c>
      <c r="J28" s="167"/>
      <c r="K28" s="167"/>
      <c r="L28" s="167"/>
      <c r="M28" s="167"/>
      <c r="N28" s="167"/>
      <c r="O28" s="166"/>
      <c r="Q28" s="144"/>
    </row>
    <row r="29" spans="1:17" ht="21.95" customHeight="1" x14ac:dyDescent="0.25">
      <c r="A29" s="64"/>
      <c r="B29" s="64"/>
      <c r="C29" s="64"/>
      <c r="D29" s="129"/>
      <c r="E29" s="129"/>
      <c r="F29" s="129"/>
      <c r="G29" s="129"/>
      <c r="H29" s="164"/>
      <c r="I29" s="168" t="s">
        <v>4</v>
      </c>
      <c r="J29" s="168"/>
      <c r="K29" s="168"/>
      <c r="L29" s="167" t="s">
        <v>82</v>
      </c>
      <c r="M29" s="167"/>
      <c r="N29" s="167"/>
      <c r="O29" s="171"/>
      <c r="Q29" s="144"/>
    </row>
    <row r="30" spans="1:17" ht="21.95" customHeight="1" x14ac:dyDescent="0.25">
      <c r="A30" s="64"/>
      <c r="B30" s="64"/>
      <c r="C30" s="64"/>
      <c r="D30" s="129"/>
      <c r="E30" s="129"/>
      <c r="F30" s="129"/>
      <c r="G30" s="129"/>
      <c r="H30" s="164"/>
      <c r="I30" s="168" t="s">
        <v>114</v>
      </c>
      <c r="J30" s="168"/>
      <c r="K30" s="168"/>
      <c r="L30" s="167" t="s">
        <v>115</v>
      </c>
      <c r="M30" s="167"/>
      <c r="N30" s="169"/>
      <c r="O30" s="172"/>
      <c r="Q30" s="144"/>
    </row>
    <row r="31" spans="1:17" ht="21.95" customHeight="1" x14ac:dyDescent="0.25">
      <c r="A31" s="64"/>
      <c r="B31" s="64"/>
      <c r="C31" s="64"/>
      <c r="D31" s="129"/>
      <c r="E31" s="129"/>
      <c r="F31" s="129"/>
      <c r="G31" s="129"/>
      <c r="H31" s="164"/>
      <c r="I31" s="168" t="s">
        <v>116</v>
      </c>
      <c r="J31" s="168"/>
      <c r="K31" s="168"/>
      <c r="L31" s="169" t="s">
        <v>117</v>
      </c>
      <c r="M31" s="169"/>
      <c r="N31" s="169"/>
      <c r="O31" s="172"/>
      <c r="Q31" s="144"/>
    </row>
    <row r="32" spans="1:17" ht="21.95" customHeight="1" x14ac:dyDescent="0.25">
      <c r="A32" s="64"/>
      <c r="B32" s="64"/>
      <c r="C32" s="64"/>
      <c r="D32" s="129"/>
      <c r="E32" s="129"/>
      <c r="F32" s="129"/>
      <c r="G32" s="129"/>
      <c r="H32" s="164"/>
      <c r="I32" s="168" t="s">
        <v>118</v>
      </c>
      <c r="J32" s="168"/>
      <c r="K32" s="168"/>
      <c r="L32" s="170">
        <v>0.25</v>
      </c>
      <c r="M32" s="169"/>
      <c r="N32" s="169"/>
      <c r="O32" s="166"/>
      <c r="Q32" s="144"/>
    </row>
    <row r="33" spans="1:17" ht="21.95" customHeight="1" x14ac:dyDescent="0.25">
      <c r="A33" s="64"/>
      <c r="B33" s="64"/>
      <c r="C33" s="64"/>
      <c r="D33" s="129"/>
      <c r="E33" s="129"/>
      <c r="F33" s="129"/>
      <c r="G33" s="129"/>
      <c r="H33" s="164"/>
      <c r="I33" s="163" t="s">
        <v>121</v>
      </c>
      <c r="J33" s="163"/>
      <c r="K33" s="163"/>
      <c r="L33" s="163"/>
      <c r="M33" s="163"/>
      <c r="N33" s="163"/>
      <c r="O33" s="166"/>
      <c r="Q33" s="144"/>
    </row>
    <row r="34" spans="1:17" ht="21.95" customHeight="1" x14ac:dyDescent="0.25">
      <c r="A34" s="64"/>
      <c r="B34" s="64"/>
      <c r="C34" s="64"/>
      <c r="D34" s="129"/>
      <c r="E34" s="129"/>
      <c r="F34" s="129"/>
      <c r="G34" s="129"/>
      <c r="H34" s="164"/>
      <c r="I34" s="168" t="s">
        <v>119</v>
      </c>
      <c r="J34" s="168"/>
      <c r="K34" s="168"/>
      <c r="L34" s="167" t="s">
        <v>120</v>
      </c>
      <c r="M34" s="167"/>
      <c r="N34" s="167"/>
      <c r="O34" s="166"/>
      <c r="Q34" s="144"/>
    </row>
    <row r="35" spans="1:17" ht="21.95" customHeight="1" x14ac:dyDescent="0.25">
      <c r="A35" s="64"/>
      <c r="B35" s="64"/>
      <c r="C35" s="64"/>
      <c r="D35" s="129"/>
      <c r="E35" s="129"/>
      <c r="F35" s="129"/>
      <c r="G35" s="129"/>
      <c r="H35" s="164"/>
      <c r="I35" s="168" t="s">
        <v>9</v>
      </c>
      <c r="J35" s="168"/>
      <c r="K35" s="168"/>
      <c r="L35" s="167" t="s">
        <v>112</v>
      </c>
      <c r="M35" s="167"/>
      <c r="N35" s="167"/>
      <c r="O35" s="171"/>
      <c r="Q35" s="144"/>
    </row>
    <row r="36" spans="1:17" x14ac:dyDescent="0.25">
      <c r="Q36" s="144"/>
    </row>
    <row r="37" spans="1:17" x14ac:dyDescent="0.25">
      <c r="Q37" s="144"/>
    </row>
    <row r="38" spans="1:17" ht="27.95" customHeight="1" thickBot="1" x14ac:dyDescent="0.3">
      <c r="D38" s="141" t="s">
        <v>79</v>
      </c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Q38" s="144"/>
    </row>
    <row r="39" spans="1:17" x14ac:dyDescent="0.25">
      <c r="D39" s="161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Q39" s="144"/>
    </row>
    <row r="40" spans="1:17" ht="21.95" customHeight="1" x14ac:dyDescent="0.25">
      <c r="D40" s="133">
        <v>95</v>
      </c>
      <c r="E40" s="133"/>
      <c r="F40" s="133"/>
      <c r="G40" s="152" t="s">
        <v>83</v>
      </c>
      <c r="H40" s="134"/>
      <c r="I40" s="134"/>
      <c r="J40" s="135" t="s">
        <v>122</v>
      </c>
      <c r="K40" s="135"/>
      <c r="L40" s="135"/>
      <c r="M40" s="135"/>
      <c r="N40" s="135"/>
      <c r="Q40" s="144"/>
    </row>
    <row r="41" spans="1:17" ht="21.95" customHeight="1" x14ac:dyDescent="0.25">
      <c r="D41" s="151"/>
      <c r="E41" s="133"/>
      <c r="F41" s="133"/>
      <c r="G41" s="152"/>
      <c r="H41" s="134"/>
      <c r="I41" s="134"/>
      <c r="J41" s="136">
        <v>0.61805555555555558</v>
      </c>
      <c r="K41" s="137"/>
      <c r="L41" s="153"/>
      <c r="M41" s="137"/>
      <c r="N41" s="137"/>
      <c r="Q41" s="144"/>
    </row>
    <row r="42" spans="1:17" ht="21.95" customHeight="1" x14ac:dyDescent="0.25">
      <c r="D42" s="133"/>
      <c r="E42" s="133"/>
      <c r="F42" s="133"/>
      <c r="G42" s="134"/>
      <c r="H42" s="134"/>
      <c r="I42" s="134"/>
      <c r="J42" s="132"/>
      <c r="K42" s="132"/>
      <c r="L42" s="132"/>
      <c r="M42" s="132"/>
      <c r="N42" s="132"/>
      <c r="Q42" s="144"/>
    </row>
    <row r="43" spans="1:17" x14ac:dyDescent="0.25">
      <c r="D43" s="132"/>
      <c r="E43" s="132"/>
      <c r="F43" s="132"/>
      <c r="G43" s="132"/>
      <c r="H43" s="132"/>
      <c r="I43" s="132"/>
      <c r="J43" s="135" t="s">
        <v>123</v>
      </c>
      <c r="K43" s="135"/>
      <c r="L43" s="135"/>
      <c r="M43" s="135"/>
      <c r="N43" s="135"/>
      <c r="Q43" s="144"/>
    </row>
    <row r="44" spans="1:17" ht="24" customHeight="1" x14ac:dyDescent="0.25">
      <c r="D44" s="138" t="s">
        <v>124</v>
      </c>
      <c r="E44" s="138"/>
      <c r="F44" s="138"/>
      <c r="G44" s="138"/>
      <c r="H44" s="138"/>
      <c r="I44" s="138"/>
      <c r="J44" s="154">
        <v>2750</v>
      </c>
      <c r="K44" s="139"/>
      <c r="L44" s="154"/>
      <c r="M44" s="139"/>
      <c r="N44" s="139"/>
      <c r="Q44" s="144"/>
    </row>
    <row r="45" spans="1:17" x14ac:dyDescent="0.25"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Q45" s="144"/>
    </row>
    <row r="46" spans="1:17" ht="21.95" customHeight="1" x14ac:dyDescent="0.25">
      <c r="D46" s="155" t="s">
        <v>130</v>
      </c>
      <c r="E46" s="156"/>
      <c r="F46" s="156"/>
      <c r="G46" s="156"/>
      <c r="H46" s="156"/>
      <c r="I46" s="156"/>
      <c r="J46" s="156"/>
      <c r="K46" s="156"/>
      <c r="L46" s="156"/>
      <c r="M46" s="156"/>
      <c r="N46" s="157"/>
      <c r="Q46" s="144"/>
    </row>
    <row r="47" spans="1:17" ht="21.95" customHeight="1" x14ac:dyDescent="0.25">
      <c r="D47" s="158"/>
      <c r="E47" s="159"/>
      <c r="F47" s="159"/>
      <c r="G47" s="159"/>
      <c r="H47" s="159"/>
      <c r="I47" s="159"/>
      <c r="J47" s="159"/>
      <c r="K47" s="159"/>
      <c r="L47" s="159"/>
      <c r="M47" s="159"/>
      <c r="N47" s="160"/>
      <c r="Q47" s="144"/>
    </row>
    <row r="48" spans="1:17" x14ac:dyDescent="0.25"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Q48" s="144"/>
    </row>
    <row r="49" spans="4:17" x14ac:dyDescent="0.25">
      <c r="Q49" s="144"/>
    </row>
    <row r="50" spans="4:17" ht="27.95" customHeight="1" x14ac:dyDescent="0.25">
      <c r="D50" s="131" t="s">
        <v>125</v>
      </c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P50" s="63" t="s">
        <v>76</v>
      </c>
      <c r="Q50" s="144" t="s">
        <v>70</v>
      </c>
    </row>
    <row r="51" spans="4:17" x14ac:dyDescent="0.25"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P51" s="142">
        <v>46235</v>
      </c>
      <c r="Q51" s="144">
        <v>3600</v>
      </c>
    </row>
    <row r="52" spans="4:17" x14ac:dyDescent="0.25"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P52" s="142">
        <v>46266</v>
      </c>
      <c r="Q52" s="144">
        <v>6450</v>
      </c>
    </row>
    <row r="53" spans="4:17" x14ac:dyDescent="0.25"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</row>
    <row r="54" spans="4:17" x14ac:dyDescent="0.25"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</row>
    <row r="55" spans="4:17" x14ac:dyDescent="0.25"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</row>
    <row r="56" spans="4:17" x14ac:dyDescent="0.25"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</row>
    <row r="57" spans="4:17" x14ac:dyDescent="0.25"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</row>
    <row r="58" spans="4:17" x14ac:dyDescent="0.25"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</row>
    <row r="59" spans="4:17" x14ac:dyDescent="0.25"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</row>
    <row r="60" spans="4:17" x14ac:dyDescent="0.25"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</row>
    <row r="61" spans="4:17" x14ac:dyDescent="0.25"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</row>
    <row r="62" spans="4:17" x14ac:dyDescent="0.25"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</row>
    <row r="63" spans="4:17" x14ac:dyDescent="0.25"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</row>
    <row r="64" spans="4:17" x14ac:dyDescent="0.25"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</row>
    <row r="69" spans="2:13" ht="24" customHeight="1" x14ac:dyDescent="0.25">
      <c r="B69" s="145" t="s">
        <v>127</v>
      </c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</row>
    <row r="70" spans="2:13" ht="20.100000000000001" customHeight="1" x14ac:dyDescent="0.25">
      <c r="B70" s="149" t="s">
        <v>122</v>
      </c>
      <c r="C70" s="149"/>
      <c r="D70" s="149"/>
      <c r="E70" s="149"/>
      <c r="F70" s="149" t="s">
        <v>123</v>
      </c>
      <c r="G70" s="149"/>
      <c r="H70" s="149"/>
      <c r="I70" s="149"/>
      <c r="J70" s="149" t="s">
        <v>128</v>
      </c>
      <c r="K70" s="149"/>
      <c r="L70" s="149"/>
      <c r="M70" s="149"/>
    </row>
    <row r="71" spans="2:13" ht="20.100000000000001" customHeight="1" x14ac:dyDescent="0.25">
      <c r="B71" s="146" t="str">
        <f t="shared" ref="B71:E73" si="0">IF(D7&lt;=0,"Sem receita registrada",TEXT(G7/D7,"0%")&amp;" das receitas comprometidas com despesas")</f>
        <v>62% das receitas comprometidas com despesas</v>
      </c>
      <c r="C71" s="146"/>
      <c r="D71" s="146"/>
      <c r="E71" s="146"/>
      <c r="F71" s="147" t="str">
        <f t="shared" ref="F71:I73" si="1">TEXT(J7,"R$ #.##0,00")</f>
        <v>R$ 2.750,00</v>
      </c>
      <c r="G71" s="147"/>
      <c r="H71" s="147"/>
      <c r="I71" s="147"/>
      <c r="J71" s="148" t="str">
        <f t="shared" ref="J71:M73" si="2">IF(J7&lt;0,"ATENÇÃO: saldo negativo",IF(D7&lt;=0,"SEM RECEITAS REGISTRADAS",IF(G7/D7&gt;=0.9,"ALTO NÍVEL DE DESPESAS",IF(G7/D7&gt;=0.75,"DESPESAS ELEVADAS","SITUAÇÃO CONTROLADA"))))</f>
        <v>SITUAÇÃO CONTROLADA</v>
      </c>
      <c r="K71" s="148"/>
      <c r="L71" s="148"/>
      <c r="M71" s="148"/>
    </row>
    <row r="72" spans="2:13" ht="20.100000000000001" customHeight="1" x14ac:dyDescent="0.25">
      <c r="B72" s="146"/>
      <c r="C72" s="146"/>
      <c r="D72" s="146"/>
      <c r="E72" s="146"/>
      <c r="F72" s="147"/>
      <c r="G72" s="147"/>
      <c r="H72" s="147"/>
      <c r="I72" s="147"/>
      <c r="J72" s="148"/>
      <c r="K72" s="148"/>
      <c r="L72" s="148"/>
      <c r="M72" s="148"/>
    </row>
    <row r="73" spans="2:13" ht="20.100000000000001" customHeight="1" x14ac:dyDescent="0.25">
      <c r="B73" s="146"/>
      <c r="C73" s="146"/>
      <c r="D73" s="146"/>
      <c r="E73" s="146"/>
      <c r="F73" s="147"/>
      <c r="G73" s="147"/>
      <c r="H73" s="147"/>
      <c r="I73" s="147"/>
      <c r="J73" s="148"/>
      <c r="K73" s="148"/>
      <c r="L73" s="148"/>
      <c r="M73" s="148"/>
    </row>
    <row r="74" spans="2:13" ht="20.100000000000001" customHeight="1" x14ac:dyDescent="0.25">
      <c r="B74" s="150" t="s">
        <v>129</v>
      </c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</row>
    <row r="75" spans="2:13" ht="20.100000000000001" customHeight="1" x14ac:dyDescent="0.25">
      <c r="B75" s="146" t="str">
        <f>IFERROR("Meta: "&amp;INDEX(Metas!$B$2:$B$100,MATCH(1,Metas!$A$2:$A$100,0))&amp;" | Progresso: "&amp;TEXT(INDEX(Metas!$E$2:$E$100,MATCH(1,Metas!$A$2:$A$100,0))/INDEX(Metas!$D$2:$D$100,MATCH(1,Metas!$A$2:$A$100,0)),"0%")&amp;" | Status: "&amp;INDEX(Metas!$G$2:$G$100,MATCH(1,Metas!$A$2:$A$100,0)),"Nenhuma meta cadastrada")</f>
        <v>Meta: Economia Mensal | Progresso: 25% | Status: Em andamento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</row>
    <row r="76" spans="2:13" ht="20.100000000000001" customHeight="1" x14ac:dyDescent="0.2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</row>
    <row r="77" spans="2:13" ht="20.100000000000001" customHeight="1" x14ac:dyDescent="0.2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</row>
  </sheetData>
  <mergeCells count="54">
    <mergeCell ref="B75:M77"/>
    <mergeCell ref="H26:O26"/>
    <mergeCell ref="B71:E73"/>
    <mergeCell ref="F70:I70"/>
    <mergeCell ref="F71:I73"/>
    <mergeCell ref="J70:M70"/>
    <mergeCell ref="J71:M73"/>
    <mergeCell ref="B74:M74"/>
    <mergeCell ref="J44:N44"/>
    <mergeCell ref="D44:I44"/>
    <mergeCell ref="D46:N47"/>
    <mergeCell ref="D50:N50"/>
    <mergeCell ref="B69:M69"/>
    <mergeCell ref="B70:E70"/>
    <mergeCell ref="D38:N38"/>
    <mergeCell ref="D40:F42"/>
    <mergeCell ref="G40:I42"/>
    <mergeCell ref="J40:N40"/>
    <mergeCell ref="J41:N41"/>
    <mergeCell ref="J43:N43"/>
    <mergeCell ref="L32:N32"/>
    <mergeCell ref="I33:N33"/>
    <mergeCell ref="I34:K34"/>
    <mergeCell ref="L34:N34"/>
    <mergeCell ref="I35:K35"/>
    <mergeCell ref="L35:N35"/>
    <mergeCell ref="I28:N28"/>
    <mergeCell ref="I29:K29"/>
    <mergeCell ref="L29:N29"/>
    <mergeCell ref="I30:K30"/>
    <mergeCell ref="L30:N30"/>
    <mergeCell ref="I31:K31"/>
    <mergeCell ref="L31:N31"/>
    <mergeCell ref="I32:K32"/>
    <mergeCell ref="D12:I12"/>
    <mergeCell ref="J5:L6"/>
    <mergeCell ref="J7:L8"/>
    <mergeCell ref="M5:O6"/>
    <mergeCell ref="M7:O8"/>
    <mergeCell ref="J12:O24"/>
    <mergeCell ref="A15:C16"/>
    <mergeCell ref="A18:C19"/>
    <mergeCell ref="A21:C22"/>
    <mergeCell ref="A24:C25"/>
    <mergeCell ref="D5:F6"/>
    <mergeCell ref="D7:F8"/>
    <mergeCell ref="D1:O3"/>
    <mergeCell ref="D4:O4"/>
    <mergeCell ref="A2:C4"/>
    <mergeCell ref="A6:C7"/>
    <mergeCell ref="A9:C10"/>
    <mergeCell ref="A12:C13"/>
    <mergeCell ref="G5:I6"/>
    <mergeCell ref="G7:I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H13" sqref="H13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3" spans="1:11" x14ac:dyDescent="0.25">
      <c r="B3" s="3">
        <v>46286</v>
      </c>
      <c r="C3" t="s">
        <v>22</v>
      </c>
      <c r="D3" t="s">
        <v>21</v>
      </c>
      <c r="E3" t="s">
        <v>106</v>
      </c>
      <c r="F3" s="4">
        <v>4000</v>
      </c>
      <c r="G3" t="s">
        <v>58</v>
      </c>
      <c r="H3" t="s">
        <v>35</v>
      </c>
      <c r="I3" s="1" t="s">
        <v>56</v>
      </c>
      <c r="J3" t="s">
        <v>107</v>
      </c>
    </row>
    <row r="4" spans="1:11" x14ac:dyDescent="0.25">
      <c r="B4" s="3">
        <v>46286</v>
      </c>
      <c r="C4" t="s">
        <v>22</v>
      </c>
      <c r="D4" t="s">
        <v>28</v>
      </c>
      <c r="E4" t="s">
        <v>108</v>
      </c>
      <c r="F4" s="4">
        <v>200</v>
      </c>
      <c r="G4" t="s">
        <v>58</v>
      </c>
      <c r="H4" t="s">
        <v>35</v>
      </c>
      <c r="I4" s="1" t="s">
        <v>56</v>
      </c>
      <c r="J4" t="s">
        <v>107</v>
      </c>
    </row>
    <row r="5" spans="1:11" x14ac:dyDescent="0.25">
      <c r="B5" s="3">
        <v>46286</v>
      </c>
      <c r="C5" t="s">
        <v>22</v>
      </c>
      <c r="D5" t="s">
        <v>24</v>
      </c>
      <c r="E5" t="s">
        <v>109</v>
      </c>
      <c r="F5" s="4">
        <v>250</v>
      </c>
      <c r="G5" t="s">
        <v>58</v>
      </c>
      <c r="H5" t="s">
        <v>35</v>
      </c>
      <c r="I5" s="1" t="s">
        <v>56</v>
      </c>
      <c r="J5" t="s">
        <v>107</v>
      </c>
    </row>
    <row r="6" spans="1:11" x14ac:dyDescent="0.25">
      <c r="B6" s="3">
        <v>46254</v>
      </c>
      <c r="C6" t="s">
        <v>17</v>
      </c>
      <c r="D6" t="s">
        <v>16</v>
      </c>
      <c r="E6" t="s">
        <v>126</v>
      </c>
      <c r="F6" s="4">
        <v>3600</v>
      </c>
      <c r="G6" t="s">
        <v>58</v>
      </c>
      <c r="H6" t="s">
        <v>35</v>
      </c>
      <c r="I6" s="1" t="s">
        <v>56</v>
      </c>
      <c r="J6" t="s">
        <v>107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2"/>
  <sheetViews>
    <sheetView workbookViewId="0">
      <selection activeCell="G6" sqref="G6"/>
    </sheetView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  <row r="2" spans="1:7" x14ac:dyDescent="0.25">
      <c r="A2">
        <v>1</v>
      </c>
      <c r="B2" t="s">
        <v>110</v>
      </c>
      <c r="C2" t="s">
        <v>82</v>
      </c>
      <c r="D2" s="4">
        <v>10000</v>
      </c>
      <c r="E2" s="4">
        <v>2500</v>
      </c>
      <c r="F2" s="2" t="s">
        <v>111</v>
      </c>
      <c r="G2" t="s">
        <v>112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2026-09-21T18:01:11Z</dcterms:modified>
</cp:coreProperties>
</file>