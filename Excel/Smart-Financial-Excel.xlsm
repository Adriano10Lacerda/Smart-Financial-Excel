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projetos\Smart-Financial-Excel\Excel\"/>
    </mc:Choice>
  </mc:AlternateContent>
  <xr:revisionPtr revIDLastSave="0" documentId="13_ncr:1_{47EF9D77-D847-4EF5-BF7A-DC62D4DA8650}" xr6:coauthVersionLast="47" xr6:coauthVersionMax="47" xr10:uidLastSave="{00000000-0000-0000-0000-000000000000}"/>
  <bookViews>
    <workbookView xWindow="-120" yWindow="-120" windowWidth="20730" windowHeight="11040" xr2:uid="{F91511D9-C0CF-4C6D-8103-54094EAD38F7}"/>
  </bookViews>
  <sheets>
    <sheet name="Dashboard_V2" sheetId="9" r:id="rId1"/>
    <sheet name="Dashboard" sheetId="2" r:id="rId2"/>
    <sheet name="Lançamentos" sheetId="3" r:id="rId3"/>
    <sheet name="Contas" sheetId="4" r:id="rId4"/>
    <sheet name="Categorias" sheetId="5" r:id="rId5"/>
    <sheet name="Metas" sheetId="6" r:id="rId6"/>
    <sheet name="FormasPagamento" sheetId="7" r:id="rId7"/>
    <sheet name="Configurações" sheetId="8" r:id="rId8"/>
  </sheets>
  <definedNames>
    <definedName name="nmCategorias">Categorias!$B$2:$B$1000</definedName>
    <definedName name="nmContas">Contas!$B$2:$B$1000</definedName>
    <definedName name="nmFormasPagamento">FormasPagamento!$B$2:$B$1000</definedName>
    <definedName name="nmStatusLancamento">Configurações!$E$2:$E$3</definedName>
    <definedName name="nmTiposLancamento">Configurações!$D$2:$D$3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75" i="9" l="1"/>
  <c r="M6" i="9"/>
  <c r="J6" i="9"/>
  <c r="G6" i="9"/>
  <c r="D6" i="9"/>
  <c r="B15" i="2"/>
  <c r="B13" i="2"/>
  <c r="B12" i="2"/>
  <c r="J5" i="2"/>
  <c r="D5" i="2"/>
  <c r="A5" i="2"/>
  <c r="D71" i="9" l="1"/>
  <c r="B14" i="2"/>
  <c r="G5" i="2"/>
  <c r="L71" i="9" l="1"/>
  <c r="H71" i="9"/>
</calcChain>
</file>

<file path=xl/sharedStrings.xml><?xml version="1.0" encoding="utf-8"?>
<sst xmlns="http://schemas.openxmlformats.org/spreadsheetml/2006/main" count="287" uniqueCount="141">
  <si>
    <t>SMART FINANCIAL</t>
  </si>
  <si>
    <t>ID</t>
  </si>
  <si>
    <t>Data</t>
  </si>
  <si>
    <t>Tipo</t>
  </si>
  <si>
    <t>Categoria</t>
  </si>
  <si>
    <t>Descrição</t>
  </si>
  <si>
    <t>Valor</t>
  </si>
  <si>
    <t>Conta</t>
  </si>
  <si>
    <t>Forma de Pagamento</t>
  </si>
  <si>
    <t>Status</t>
  </si>
  <si>
    <t>Observação</t>
  </si>
  <si>
    <t>Data de Cadastro</t>
  </si>
  <si>
    <t>Nome da Conta</t>
  </si>
  <si>
    <t>Instituição</t>
  </si>
  <si>
    <t>Saldo Inicial</t>
  </si>
  <si>
    <t>Ativa</t>
  </si>
  <si>
    <t>Salário</t>
  </si>
  <si>
    <t>Receita</t>
  </si>
  <si>
    <t>Sim</t>
  </si>
  <si>
    <t>Freelance</t>
  </si>
  <si>
    <t>Investimentos</t>
  </si>
  <si>
    <t>Alimentação</t>
  </si>
  <si>
    <t>Despesa</t>
  </si>
  <si>
    <t>Moradia</t>
  </si>
  <si>
    <t>Transporte</t>
  </si>
  <si>
    <t>Saúde</t>
  </si>
  <si>
    <t>Educação</t>
  </si>
  <si>
    <t>Lazer</t>
  </si>
  <si>
    <t>Contas</t>
  </si>
  <si>
    <t>Compras</t>
  </si>
  <si>
    <t>Outros</t>
  </si>
  <si>
    <t>Meta</t>
  </si>
  <si>
    <t>Valor Objetivo</t>
  </si>
  <si>
    <t>Valor Atual</t>
  </si>
  <si>
    <t>Data Limite</t>
  </si>
  <si>
    <t>PIX</t>
  </si>
  <si>
    <t>Eletrônico</t>
  </si>
  <si>
    <t>Cartão de Crédito</t>
  </si>
  <si>
    <t>Cartão</t>
  </si>
  <si>
    <t>Cartão de Débito</t>
  </si>
  <si>
    <t>Dinheiro</t>
  </si>
  <si>
    <t>Transferência</t>
  </si>
  <si>
    <t>Boleto</t>
  </si>
  <si>
    <t>Débito Automático</t>
  </si>
  <si>
    <t>Configuração</t>
  </si>
  <si>
    <t>Moeda</t>
  </si>
  <si>
    <t>BRL</t>
  </si>
  <si>
    <t>Símbolo</t>
  </si>
  <si>
    <t>R$</t>
  </si>
  <si>
    <t>Idioma</t>
  </si>
  <si>
    <t>Português (Brasil)</t>
  </si>
  <si>
    <t>Versão</t>
  </si>
  <si>
    <t>Sistema</t>
  </si>
  <si>
    <t>Smart Financial Excel</t>
  </si>
  <si>
    <t>TiposLancamento</t>
  </si>
  <si>
    <t>StatusLancamento</t>
  </si>
  <si>
    <t>Pago</t>
  </si>
  <si>
    <t>Pendente</t>
  </si>
  <si>
    <t>Conta Principal</t>
  </si>
  <si>
    <t>Conta Corrente</t>
  </si>
  <si>
    <t>Banco de Teste</t>
  </si>
  <si>
    <t>Salário de teste</t>
  </si>
  <si>
    <t>Teste do sistema</t>
  </si>
  <si>
    <t>1.3.1</t>
  </si>
  <si>
    <t>RECEITAS</t>
  </si>
  <si>
    <t>DESPESAS</t>
  </si>
  <si>
    <t>LANÇAMENTOS</t>
  </si>
  <si>
    <t>RESUMO FINANCEIRO</t>
  </si>
  <si>
    <t>Receitas</t>
  </si>
  <si>
    <t>Despesas</t>
  </si>
  <si>
    <t>Saldo</t>
  </si>
  <si>
    <t>Lançamentos</t>
  </si>
  <si>
    <t>VISÃO FINANCEIRA</t>
  </si>
  <si>
    <t>Indicador</t>
  </si>
  <si>
    <t>DISTRIBUIÇÃO DAS DESPESAS</t>
  </si>
  <si>
    <t>Sem despesas</t>
  </si>
  <si>
    <t>Mês</t>
  </si>
  <si>
    <t>METAS FINANCEIRAS</t>
  </si>
  <si>
    <t>SALDO DO MÊS</t>
  </si>
  <si>
    <t>SAÚDE FINANCEIRA</t>
  </si>
  <si>
    <t>META DE ECONOMIA_x000D_
_x000D_
Área preparada para integração com a aba Metas._x000D_
_x000D_
Em breve este painel mostrará automaticamente:_x000D_
• Meta mensal_x000D_
• Valor acumulado_x000D_
• Percentual atingido</t>
  </si>
  <si>
    <t>INDICADORES FINANCEIROS</t>
  </si>
  <si>
    <t>Economia</t>
  </si>
  <si>
    <t>EXCELENTE</t>
  </si>
  <si>
    <t>Parabéns! Suas finanças estão muito bem equilibradas.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</si>
  <si>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</si>
  <si>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</si>
  <si>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</si>
  <si>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</si>
  <si>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</si>
  <si>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</si>
  <si>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</si>
  <si>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</si>
  <si>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</si>
  <si>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</si>
  <si>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</si>
  <si>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</si>
  <si>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Controle financeiro pessoal</t>
  </si>
  <si>
    <t>Planeje hoje, conquiste seus objetivos amanhã.</t>
  </si>
  <si>
    <t>RECEITAS x DESPESAS</t>
  </si>
  <si>
    <t>ÁREA DO PERSONAGEM</t>
  </si>
  <si>
    <t>Supermercado</t>
  </si>
  <si>
    <t>Teste Dashabord</t>
  </si>
  <si>
    <t>Conta de luz</t>
  </si>
  <si>
    <t>Combustivel</t>
  </si>
  <si>
    <t>Economia Mensal</t>
  </si>
  <si>
    <t>Em andamento</t>
  </si>
  <si>
    <t>META FINANCEIRA</t>
  </si>
  <si>
    <t>Objetivo</t>
  </si>
  <si>
    <t>Atual</t>
  </si>
  <si>
    <t>Progresso</t>
  </si>
  <si>
    <t>Prazo</t>
  </si>
  <si>
    <t>25% concluído</t>
  </si>
  <si>
    <t>DESPESAS / RECEITAS</t>
  </si>
  <si>
    <t>SALDO ATUAL</t>
  </si>
  <si>
    <t>EVOLUÇÃO DO SALDO</t>
  </si>
  <si>
    <t>Salario teste</t>
  </si>
  <si>
    <t>SITUAÇÃO FINANCEIRA</t>
  </si>
  <si>
    <t>SMART FINANCIAL_x000D_
Controle financeiro inteligente</t>
  </si>
  <si>
    <t>SMART_x000D_
FINANCIAL</t>
  </si>
  <si>
    <t>ÍNDICE FINANCEIRO</t>
  </si>
  <si>
    <t>STATUS</t>
  </si>
  <si>
    <t>Índice baseado na relação entre receitas, despesas e saldo.</t>
  </si>
  <si>
    <t>BOA</t>
  </si>
  <si>
    <t>Sua situação financeira está boa._x000D_
Há espaço para melhorar ainda mais.</t>
  </si>
  <si>
    <t>INSIGHTS FINANCEIROS</t>
  </si>
  <si>
    <t>ACOMPANHAMENTO DA META</t>
  </si>
  <si>
    <t>ÚLTIMOS LANÇAMENTOS</t>
  </si>
  <si>
    <t>DICA FINANCEIRA DO DIA</t>
  </si>
  <si>
    <t>DICA</t>
  </si>
  <si>
    <t>MANTENHA O CONTROLE</t>
  </si>
  <si>
    <t>Seu orçamento está positivo, mas boa parte da receita já está comprometida com despesas.</t>
  </si>
  <si>
    <t>Continue acompanhando seus gastos para preservar espaço para suas metas financeiras.</t>
  </si>
  <si>
    <t>"Disciplina financeira_x000D_
transforma planos em realidade."</t>
  </si>
  <si>
    <t>Dashboard</t>
  </si>
  <si>
    <t>Metas</t>
  </si>
  <si>
    <t>Relatórios</t>
  </si>
  <si>
    <t>Configurações</t>
  </si>
  <si>
    <t>PAINEL FINANCEIRO_x000D_
quarta-feira, 23/09/2026</t>
  </si>
  <si>
    <t>Controle_x000D_
Financeiro_x000D_
Inteligente</t>
  </si>
  <si>
    <t>30/09/2026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</si>
</sst>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R$&quot;#,##0.00_);[Red]\(&quot;R$&quot;#,##0.00\)"/>
    <numFmt numFmtId="165" formatCode="&quot;R$&quot;\ #,##0.00"/>
    <numFmt numFmtId="166" formatCode="0.0%"/>
    <numFmt numFmtId="167" formatCode="mmm/yyyy"/>
    <numFmt numFmtId="168" formatCode="&quot;R$ &quot;#,##0.00"/>
    <numFmt numFmtId="169" formatCode="_-[$R$-416]\ * #,##0.00_-;_-[$R$-416]\ * \-#,##0.00_-;_-[$R$-416]\ * &quot;-&quot;??_-;_-@_-"/>
  </numFmts>
  <fonts count="67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4"/>
      <color rgb="FF194B78"/>
      <name val="Aptos Display"/>
      <family val="2"/>
    </font>
    <font>
      <b/>
      <sz val="11"/>
      <color rgb="FF2E7D32"/>
      <name val="Aptos"/>
      <family val="2"/>
    </font>
    <font>
      <sz val="10"/>
      <color rgb="FF505A64"/>
      <name val="Aptos"/>
      <family val="2"/>
    </font>
    <font>
      <i/>
      <sz val="8"/>
      <color rgb="FF828C96"/>
      <name val="Aptos"/>
      <family val="2"/>
    </font>
    <font>
      <b/>
      <sz val="12"/>
      <color rgb="FF194B78"/>
      <name val="Aptos Display"/>
      <family val="2"/>
    </font>
    <font>
      <sz val="10"/>
      <color rgb="FF46505A"/>
      <name val="Aptos"/>
      <family val="2"/>
    </font>
    <font>
      <sz val="10"/>
      <color rgb="FF37414B"/>
      <name val="Aptos"/>
      <family val="2"/>
    </font>
    <font>
      <b/>
      <sz val="10"/>
      <color rgb="FF37414B"/>
      <name val="Aptos"/>
      <family val="2"/>
    </font>
    <font>
      <b/>
      <sz val="10"/>
      <color rgb="FF505A64"/>
      <name val="Aptos"/>
      <family val="2"/>
    </font>
    <font>
      <b/>
      <sz val="28"/>
      <color rgb="FF2E7D32"/>
      <name val="Aptos Display"/>
      <family val="2"/>
    </font>
    <font>
      <sz val="9"/>
      <color rgb="FF505A64"/>
      <name val="Aptos"/>
      <family val="2"/>
    </font>
    <font>
      <i/>
      <sz val="11"/>
      <color rgb="FFE1EBF5"/>
      <name val="Aptos"/>
      <family val="2"/>
    </font>
    <font>
      <b/>
      <sz val="11"/>
      <color rgb="FFFFFFFF"/>
      <name val="Aptos"/>
      <family val="2"/>
    </font>
    <font>
      <b/>
      <sz val="20"/>
      <color rgb="FF1EA05A"/>
      <name val="Aptos Display"/>
      <family val="2"/>
    </font>
    <font>
      <b/>
      <sz val="20"/>
      <color theme="1"/>
      <name val="Aptos"/>
      <family val="2"/>
    </font>
    <font>
      <b/>
      <sz val="20"/>
      <color rgb="FFE13737"/>
      <name val="Aptos Display"/>
      <family val="2"/>
    </font>
    <font>
      <b/>
      <sz val="20"/>
      <color rgb="FF237DDC"/>
      <name val="Aptos Display"/>
      <family val="2"/>
    </font>
    <font>
      <b/>
      <sz val="20"/>
      <color rgb="FF5A5F69"/>
      <name val="Aptos Display"/>
      <family val="2"/>
    </font>
    <font>
      <b/>
      <sz val="11"/>
      <color rgb="FF194B78"/>
      <name val="Aptos"/>
      <family val="2"/>
    </font>
    <font>
      <b/>
      <sz val="11"/>
      <color theme="1"/>
      <name val="Aptos"/>
      <family val="2"/>
    </font>
    <font>
      <b/>
      <sz val="11"/>
      <color rgb="FF1EA05A"/>
      <name val="Aptos"/>
      <family val="2"/>
    </font>
    <font>
      <b/>
      <sz val="11"/>
      <color rgb="FFE13737"/>
      <name val="Aptos"/>
      <family val="2"/>
    </font>
    <font>
      <b/>
      <sz val="11"/>
      <color rgb="FF237DDC"/>
      <name val="Aptos"/>
      <family val="2"/>
    </font>
    <font>
      <b/>
      <sz val="15"/>
      <color theme="1"/>
      <name val="Aptos"/>
      <family val="2"/>
    </font>
    <font>
      <sz val="10"/>
      <color rgb="FF232D3C"/>
      <name val="Aptos"/>
      <family val="2"/>
    </font>
    <font>
      <b/>
      <sz val="10"/>
      <color rgb="FF27AE60"/>
      <name val="Aptos"/>
      <family val="2"/>
    </font>
    <font>
      <b/>
      <sz val="10"/>
      <color rgb="FF232D3C"/>
      <name val="Aptos"/>
      <family val="2"/>
    </font>
    <font>
      <sz val="10"/>
      <color rgb="FFEBF0F5"/>
      <name val="Aptos"/>
      <family val="2"/>
    </font>
    <font>
      <b/>
      <sz val="9"/>
      <color rgb="FFFFFFFF"/>
      <name val="Aptos"/>
      <family val="2"/>
    </font>
    <font>
      <b/>
      <sz val="15"/>
      <color rgb="FF27AE60"/>
      <name val="Aptos Display"/>
      <family val="2"/>
    </font>
    <font>
      <i/>
      <sz val="9"/>
      <color rgb="FF505A64"/>
      <name val="Aptos"/>
      <family val="2"/>
    </font>
    <font>
      <b/>
      <sz val="15"/>
      <color rgb="FF3498DB"/>
      <name val="Aptos Display"/>
      <family val="2"/>
    </font>
    <font>
      <b/>
      <sz val="20"/>
      <color rgb="FFF1C40F"/>
      <name val="Aptos Display"/>
      <family val="2"/>
    </font>
    <font>
      <b/>
      <sz val="12"/>
      <color rgb="FFFFFFFF"/>
      <name val="Aptos Display"/>
      <family val="2"/>
    </font>
    <font>
      <b/>
      <sz val="10"/>
      <color rgb="FF154E6B"/>
      <name val="Aptos"/>
      <family val="2"/>
    </font>
    <font>
      <b/>
      <sz val="11"/>
      <color rgb="FF154E6B"/>
      <name val="Aptos"/>
      <family val="2"/>
    </font>
    <font>
      <b/>
      <sz val="15"/>
      <color rgb="FF154E6B"/>
      <name val="Aptos Display"/>
      <family val="2"/>
    </font>
    <font>
      <b/>
      <sz val="9"/>
      <color rgb="FF154E6B"/>
      <name val="Aptos"/>
      <family val="2"/>
    </font>
    <font>
      <sz val="9"/>
      <color rgb="FF232D3C"/>
      <name val="Aptos"/>
      <family val="2"/>
    </font>
    <font>
      <b/>
      <sz val="9"/>
      <color rgb="FFDC3545"/>
      <name val="Aptos"/>
      <family val="2"/>
    </font>
    <font>
      <sz val="9"/>
      <color rgb="FF154E6B"/>
      <name val="Aptos"/>
      <family val="2"/>
    </font>
    <font>
      <b/>
      <sz val="9"/>
      <color rgb="FF198754"/>
      <name val="Aptos"/>
      <family val="2"/>
    </font>
    <font>
      <b/>
      <sz val="11"/>
      <color rgb="FF154E6B"/>
      <name val="Aptos Display"/>
      <family val="2"/>
    </font>
    <font>
      <sz val="9"/>
      <color rgb="FF5A646E"/>
      <name val="Aptos"/>
      <family val="2"/>
    </font>
    <font>
      <b/>
      <sz val="24"/>
      <color rgb="FF3498DB"/>
      <name val="Aptos Display"/>
      <family val="2"/>
    </font>
    <font>
      <b/>
      <sz val="10"/>
      <color rgb="FF15273A"/>
      <name val="Aptos"/>
      <family val="2"/>
    </font>
    <font>
      <sz val="10"/>
      <color rgb="FF2D3741"/>
      <name val="Aptos"/>
      <family val="2"/>
    </font>
    <font>
      <b/>
      <sz val="10"/>
      <color rgb="FF2D3741"/>
      <name val="Aptos"/>
      <family val="2"/>
    </font>
    <font>
      <b/>
      <i/>
      <sz val="9"/>
      <color rgb="FFDCE4EB"/>
      <name val="Aptos"/>
      <family val="2"/>
    </font>
    <font>
      <i/>
      <sz val="9"/>
      <color rgb="FF46505A"/>
      <name val="Aptos"/>
      <family val="2"/>
    </font>
    <font>
      <b/>
      <sz val="11"/>
      <color rgb="FFFFFFFF"/>
      <name val="Aptos Display"/>
      <family val="2"/>
    </font>
    <font>
      <sz val="9"/>
      <color rgb="FFDCE4EB"/>
      <name val="Aptos"/>
      <family val="2"/>
    </font>
    <font>
      <i/>
      <sz val="8"/>
      <color rgb="FFBECAD5"/>
      <name val="Aptos"/>
      <family val="2"/>
    </font>
    <font>
      <b/>
      <sz val="16"/>
      <color rgb="FF27AE60"/>
      <name val="Aptos Display"/>
      <family val="2"/>
    </font>
    <font>
      <b/>
      <sz val="16"/>
      <color rgb="FFE74C3C"/>
      <name val="Aptos Display"/>
      <family val="2"/>
    </font>
    <font>
      <b/>
      <sz val="16"/>
      <color rgb="FF1F78D1"/>
      <name val="Aptos Display"/>
      <family val="2"/>
    </font>
    <font>
      <b/>
      <sz val="16"/>
      <color rgb="FF5B6774"/>
      <name val="Aptos Display"/>
      <family val="2"/>
    </font>
    <font>
      <b/>
      <sz val="17"/>
      <color rgb="FFFFFFFF"/>
      <name val="Aptos Display"/>
      <family val="2"/>
    </font>
    <font>
      <sz val="10"/>
      <color rgb="FF505050"/>
      <name val="Aptos"/>
      <family val="2"/>
    </font>
    <font>
      <b/>
      <sz val="10"/>
      <color rgb="FF505050"/>
      <name val="Aptos"/>
      <family val="2"/>
    </font>
    <font>
      <b/>
      <sz val="8"/>
      <color rgb="FF5F6973"/>
      <name val="Aptos"/>
      <family val="2"/>
    </font>
    <font>
      <i/>
      <sz val="7"/>
      <color rgb="FF91969B"/>
      <name val="Aptos"/>
      <family val="2"/>
    </font>
    <font>
      <b/>
      <sz val="22"/>
      <color rgb="FFFFFFFF"/>
      <name val="Aptos Display"/>
      <family val="2"/>
    </font>
  </fonts>
  <fills count="30">
    <fill>
      <patternFill patternType="none"/>
    </fill>
    <fill>
      <patternFill patternType="gray125"/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CF2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D32F2F"/>
        <bgColor indexed="64"/>
      </patternFill>
    </fill>
    <fill>
      <patternFill patternType="solid">
        <fgColor rgb="FF1976D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154E6B"/>
        <bgColor indexed="64"/>
      </patternFill>
    </fill>
    <fill>
      <patternFill patternType="solid">
        <fgColor rgb="FFF2F5F7"/>
        <bgColor indexed="64"/>
      </patternFill>
    </fill>
    <fill>
      <patternFill patternType="solid">
        <fgColor rgb="FFF8FAFB"/>
        <bgColor indexed="64"/>
      </patternFill>
    </fill>
    <fill>
      <patternFill patternType="solid">
        <fgColor rgb="FFE8EDF2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FFFAE6"/>
        <bgColor indexed="64"/>
      </patternFill>
    </fill>
    <fill>
      <patternFill patternType="solid">
        <fgColor rgb="FFFFFCF0"/>
        <bgColor indexed="64"/>
      </patternFill>
    </fill>
    <fill>
      <patternFill patternType="solid">
        <fgColor rgb="FF15273A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E8F7EE"/>
        <bgColor indexed="64"/>
      </patternFill>
    </fill>
    <fill>
      <patternFill patternType="solid">
        <fgColor rgb="FFFDEDEB"/>
        <bgColor indexed="64"/>
      </patternFill>
    </fill>
    <fill>
      <patternFill patternType="solid">
        <fgColor rgb="FF1F78D1"/>
        <bgColor indexed="64"/>
      </patternFill>
    </fill>
    <fill>
      <patternFill patternType="solid">
        <fgColor rgb="FFE8F1FC"/>
        <bgColor indexed="64"/>
      </patternFill>
    </fill>
    <fill>
      <patternFill patternType="solid">
        <fgColor rgb="FF5B6774"/>
        <bgColor indexed="64"/>
      </patternFill>
    </fill>
    <fill>
      <patternFill patternType="solid">
        <fgColor rgb="FFF2F4F6"/>
        <bgColor indexed="64"/>
      </patternFill>
    </fill>
  </fills>
  <borders count="33">
    <border>
      <left/>
      <right/>
      <top/>
      <bottom/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/>
      <bottom/>
      <diagonal/>
    </border>
    <border>
      <left style="thin">
        <color rgb="FFDCE1E6"/>
      </left>
      <right/>
      <top style="thin">
        <color rgb="FFDCE1E6"/>
      </top>
      <bottom style="thin">
        <color rgb="FFDCE1E6"/>
      </bottom>
      <diagonal/>
    </border>
    <border>
      <left/>
      <right/>
      <top style="thin">
        <color rgb="FFDCE1E6"/>
      </top>
      <bottom style="thin">
        <color rgb="FFDCE1E6"/>
      </bottom>
      <diagonal/>
    </border>
    <border>
      <left/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 style="thin">
        <color rgb="FFDCE1E6"/>
      </top>
      <bottom/>
      <diagonal/>
    </border>
    <border>
      <left/>
      <right/>
      <top style="thin">
        <color rgb="FFDCE1E6"/>
      </top>
      <bottom/>
      <diagonal/>
    </border>
    <border>
      <left/>
      <right style="thin">
        <color rgb="FFDCE1E6"/>
      </right>
      <top style="thin">
        <color rgb="FFDCE1E6"/>
      </top>
      <bottom/>
      <diagonal/>
    </border>
    <border>
      <left style="thin">
        <color rgb="FFDCE1E6"/>
      </left>
      <right/>
      <top/>
      <bottom style="thin">
        <color rgb="FFDCE1E6"/>
      </bottom>
      <diagonal/>
    </border>
    <border>
      <left/>
      <right/>
      <top/>
      <bottom style="thin">
        <color rgb="FFDCE1E6"/>
      </bottom>
      <diagonal/>
    </border>
    <border>
      <left/>
      <right style="thin">
        <color rgb="FFDCE1E6"/>
      </right>
      <top/>
      <bottom style="thin">
        <color rgb="FFDCE1E6"/>
      </bottom>
      <diagonal/>
    </border>
    <border>
      <left/>
      <right style="thin">
        <color rgb="FFDCE1E6"/>
      </right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E1E6EC"/>
      </left>
      <right style="thin">
        <color rgb="FFE1E6EC"/>
      </right>
      <top style="thin">
        <color rgb="FFE1E6EC"/>
      </top>
      <bottom style="thin">
        <color rgb="FFE1E6EC"/>
      </bottom>
      <diagonal/>
    </border>
    <border>
      <left style="thin">
        <color rgb="FFE1E6EC"/>
      </left>
      <right/>
      <top style="thin">
        <color rgb="FFE1E6EC"/>
      </top>
      <bottom style="thin">
        <color rgb="FFE1E6EC"/>
      </bottom>
      <diagonal/>
    </border>
    <border>
      <left/>
      <right/>
      <top style="thin">
        <color rgb="FFE1E6EC"/>
      </top>
      <bottom style="thin">
        <color rgb="FFE1E6EC"/>
      </bottom>
      <diagonal/>
    </border>
    <border>
      <left/>
      <right style="thin">
        <color rgb="FFE1E6EC"/>
      </right>
      <top style="thin">
        <color rgb="FFE1E6EC"/>
      </top>
      <bottom style="thin">
        <color rgb="FFE1E6EC"/>
      </bottom>
      <diagonal/>
    </border>
    <border>
      <left style="thin">
        <color rgb="FFDCE1E6"/>
      </left>
      <right style="thin">
        <color rgb="FFDCE1E6"/>
      </right>
      <top/>
      <bottom style="thin">
        <color rgb="FFDCE1E6"/>
      </bottom>
      <diagonal/>
    </border>
    <border>
      <left style="thin">
        <color rgb="FFE1E6EC"/>
      </left>
      <right style="thin">
        <color rgb="FFE1E6EC"/>
      </right>
      <top/>
      <bottom style="thin">
        <color rgb="FFE1E6EC"/>
      </bottom>
      <diagonal/>
    </border>
    <border>
      <left style="thin">
        <color rgb="FFE1E6EB"/>
      </left>
      <right style="thin">
        <color rgb="FFE1E6EB"/>
      </right>
      <top style="thin">
        <color rgb="FFE1E6EB"/>
      </top>
      <bottom style="thin">
        <color rgb="FFE1E6EB"/>
      </bottom>
      <diagonal/>
    </border>
    <border>
      <left/>
      <right/>
      <top style="thin">
        <color rgb="FFE1E6EB"/>
      </top>
      <bottom style="thin">
        <color rgb="FFE1E6EB"/>
      </bottom>
      <diagonal/>
    </border>
    <border>
      <left/>
      <right style="thin">
        <color rgb="FFE1E6EB"/>
      </right>
      <top style="thin">
        <color rgb="FFE1E6EB"/>
      </top>
      <bottom style="thin">
        <color rgb="FFE1E6EB"/>
      </bottom>
      <diagonal/>
    </border>
    <border>
      <left style="thin">
        <color rgb="FFE1E6EB"/>
      </left>
      <right/>
      <top style="thin">
        <color rgb="FFE1E6EB"/>
      </top>
      <bottom style="thin">
        <color rgb="FFE1E6EB"/>
      </bottom>
      <diagonal/>
    </border>
    <border>
      <left style="thin">
        <color rgb="FFE1E6EB"/>
      </left>
      <right style="thin">
        <color rgb="FFE1E6EB"/>
      </right>
      <top/>
      <bottom style="thin">
        <color rgb="FFE1E6EB"/>
      </bottom>
      <diagonal/>
    </border>
    <border>
      <left style="thin">
        <color rgb="FFE1E6EB"/>
      </left>
      <right/>
      <top style="thin">
        <color rgb="FFE1E6EB"/>
      </top>
      <bottom style="medium">
        <color rgb="FF3498DB"/>
      </bottom>
      <diagonal/>
    </border>
    <border>
      <left/>
      <right/>
      <top style="thin">
        <color rgb="FFE1E6EB"/>
      </top>
      <bottom style="medium">
        <color rgb="FF3498DB"/>
      </bottom>
      <diagonal/>
    </border>
    <border>
      <left/>
      <right style="thin">
        <color rgb="FFE1E6EB"/>
      </right>
      <top style="thin">
        <color rgb="FFE1E6EB"/>
      </top>
      <bottom style="medium">
        <color rgb="FF3498DB"/>
      </bottom>
      <diagonal/>
    </border>
    <border>
      <left style="thin">
        <color rgb="FFE6DCB4"/>
      </left>
      <right style="thin">
        <color rgb="FFE6DCB4"/>
      </right>
      <top style="thin">
        <color rgb="FFE6DCB4"/>
      </top>
      <bottom style="thin">
        <color rgb="FFE6DCB4"/>
      </bottom>
      <diagonal/>
    </border>
    <border>
      <left/>
      <right/>
      <top style="medium">
        <color rgb="FF27AE60"/>
      </top>
      <bottom/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26A65B"/>
      </bottom>
      <diagonal/>
    </border>
    <border>
      <left/>
      <right/>
      <top/>
      <bottom style="thin">
        <color rgb="FF26A65B"/>
      </bottom>
      <diagonal/>
    </border>
    <border>
      <left/>
      <right/>
      <top/>
      <bottom style="thin">
        <color rgb="FFE6DCB4"/>
      </bottom>
      <diagonal/>
    </border>
  </borders>
  <cellStyleXfs count="1">
    <xf numFmtId="0" fontId="0" fillId="0" borderId="0"/>
  </cellStyleXfs>
  <cellXfs count="201">
    <xf numFmtId="0" fontId="0" fillId="0" borderId="0" xfId="0"/>
    <xf numFmtId="0" fontId="1" fillId="0" borderId="0" xfId="0" applyFont="1"/>
    <xf numFmtId="165" fontId="0" fillId="0" borderId="0" xfId="0" applyNumberFormat="1"/>
    <xf numFmtId="0" fontId="2" fillId="2" borderId="0" xfId="0" applyFont="1" applyFill="1"/>
    <xf numFmtId="165" fontId="2" fillId="2" borderId="0" xfId="0" applyNumberFormat="1" applyFont="1" applyFill="1"/>
    <xf numFmtId="0" fontId="8" fillId="2" borderId="0" xfId="0" applyFont="1" applyFill="1" applyAlignment="1">
      <alignment horizontal="left" vertical="center"/>
    </xf>
    <xf numFmtId="0" fontId="10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5" fontId="10" fillId="3" borderId="1" xfId="0" applyNumberFormat="1" applyFont="1" applyFill="1" applyBorder="1" applyAlignment="1">
      <alignment horizontal="center" vertical="center" wrapText="1"/>
    </xf>
    <xf numFmtId="166" fontId="10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8" fillId="7" borderId="13" xfId="0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left"/>
    </xf>
    <xf numFmtId="165" fontId="24" fillId="2" borderId="1" xfId="0" applyNumberFormat="1" applyFont="1" applyFill="1" applyBorder="1" applyAlignment="1">
      <alignment horizontal="right"/>
    </xf>
    <xf numFmtId="165" fontId="25" fillId="2" borderId="1" xfId="0" applyNumberFormat="1" applyFont="1" applyFill="1" applyBorder="1" applyAlignment="1">
      <alignment horizontal="right"/>
    </xf>
    <xf numFmtId="165" fontId="26" fillId="2" borderId="1" xfId="0" applyNumberFormat="1" applyFont="1" applyFill="1" applyBorder="1" applyAlignment="1">
      <alignment horizontal="right"/>
    </xf>
    <xf numFmtId="3" fontId="23" fillId="2" borderId="1" xfId="0" applyNumberFormat="1" applyFont="1" applyFill="1" applyBorder="1" applyAlignment="1">
      <alignment horizontal="right"/>
    </xf>
    <xf numFmtId="0" fontId="27" fillId="2" borderId="0" xfId="0" applyFont="1" applyFill="1"/>
    <xf numFmtId="0" fontId="28" fillId="6" borderId="0" xfId="0" applyFont="1" applyFill="1"/>
    <xf numFmtId="167" fontId="28" fillId="6" borderId="0" xfId="0" applyNumberFormat="1" applyFont="1" applyFill="1"/>
    <xf numFmtId="0" fontId="41" fillId="18" borderId="1" xfId="0" applyFont="1" applyFill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3" fillId="3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5" fillId="17" borderId="1" xfId="0" applyFont="1" applyFill="1" applyBorder="1" applyAlignment="1">
      <alignment horizontal="center" vertical="center"/>
    </xf>
    <xf numFmtId="0" fontId="45" fillId="3" borderId="1" xfId="0" applyFont="1" applyFill="1" applyBorder="1" applyAlignment="1">
      <alignment horizontal="center" vertical="center"/>
    </xf>
    <xf numFmtId="0" fontId="0" fillId="0" borderId="28" xfId="0" applyBorder="1"/>
    <xf numFmtId="168" fontId="28" fillId="6" borderId="0" xfId="0" applyNumberFormat="1" applyFont="1" applyFill="1"/>
    <xf numFmtId="0" fontId="28" fillId="2" borderId="20" xfId="0" applyFont="1" applyFill="1" applyBorder="1"/>
    <xf numFmtId="165" fontId="28" fillId="6" borderId="0" xfId="0" applyNumberFormat="1" applyFont="1" applyFill="1"/>
    <xf numFmtId="0" fontId="51" fillId="6" borderId="15" xfId="0" applyFont="1" applyFill="1" applyBorder="1" applyAlignment="1">
      <alignment horizontal="left" vertical="center"/>
    </xf>
    <xf numFmtId="0" fontId="51" fillId="6" borderId="16" xfId="0" applyFont="1" applyFill="1" applyBorder="1" applyAlignment="1">
      <alignment horizontal="left" vertical="center"/>
    </xf>
    <xf numFmtId="0" fontId="51" fillId="6" borderId="17" xfId="0" applyFont="1" applyFill="1" applyBorder="1" applyAlignment="1">
      <alignment horizontal="left" vertical="center"/>
    </xf>
    <xf numFmtId="0" fontId="51" fillId="6" borderId="19" xfId="0" applyFont="1" applyFill="1" applyBorder="1" applyAlignment="1">
      <alignment horizontal="center" vertical="center" wrapText="1"/>
    </xf>
    <xf numFmtId="0" fontId="50" fillId="6" borderId="18" xfId="0" applyFont="1" applyFill="1" applyBorder="1" applyAlignment="1">
      <alignment horizontal="center" vertical="center"/>
    </xf>
    <xf numFmtId="0" fontId="51" fillId="6" borderId="14" xfId="0" applyFont="1" applyFill="1" applyBorder="1" applyAlignment="1">
      <alignment horizontal="center" vertical="center" wrapText="1"/>
    </xf>
    <xf numFmtId="0" fontId="50" fillId="6" borderId="1" xfId="0" applyFont="1" applyFill="1" applyBorder="1" applyAlignment="1">
      <alignment horizontal="center" vertical="center"/>
    </xf>
    <xf numFmtId="0" fontId="51" fillId="6" borderId="3" xfId="0" applyFont="1" applyFill="1" applyBorder="1" applyAlignment="1">
      <alignment horizontal="center" vertical="center"/>
    </xf>
    <xf numFmtId="0" fontId="50" fillId="6" borderId="0" xfId="0" applyFont="1" applyFill="1" applyAlignment="1">
      <alignment vertical="center"/>
    </xf>
    <xf numFmtId="0" fontId="51" fillId="6" borderId="14" xfId="0" applyFont="1" applyFill="1" applyBorder="1" applyAlignment="1">
      <alignment horizontal="left" vertical="center"/>
    </xf>
    <xf numFmtId="0" fontId="50" fillId="6" borderId="1" xfId="0" applyFont="1" applyFill="1" applyBorder="1" applyAlignment="1">
      <alignment vertical="center"/>
    </xf>
    <xf numFmtId="0" fontId="31" fillId="22" borderId="0" xfId="0" applyFont="1" applyFill="1" applyAlignment="1">
      <alignment horizontal="left" vertical="center"/>
    </xf>
    <xf numFmtId="164" fontId="42" fillId="0" borderId="1" xfId="0" applyNumberFormat="1" applyFont="1" applyBorder="1" applyAlignment="1">
      <alignment horizontal="right" vertical="center"/>
    </xf>
    <xf numFmtId="14" fontId="42" fillId="3" borderId="1" xfId="0" applyNumberFormat="1" applyFont="1" applyFill="1" applyBorder="1" applyAlignment="1">
      <alignment horizontal="center" vertical="center"/>
    </xf>
    <xf numFmtId="14" fontId="42" fillId="17" borderId="1" xfId="0" applyNumberFormat="1" applyFont="1" applyFill="1" applyBorder="1" applyAlignment="1">
      <alignment horizontal="center" vertical="center"/>
    </xf>
    <xf numFmtId="0" fontId="50" fillId="6" borderId="18" xfId="0" applyFont="1" applyFill="1" applyBorder="1" applyAlignment="1">
      <alignment vertical="center"/>
    </xf>
    <xf numFmtId="0" fontId="51" fillId="6" borderId="9" xfId="0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9" fontId="51" fillId="0" borderId="1" xfId="0" applyNumberFormat="1" applyFont="1" applyBorder="1" applyAlignment="1">
      <alignment horizontal="center" vertical="center"/>
    </xf>
    <xf numFmtId="0" fontId="28" fillId="2" borderId="24" xfId="0" applyFont="1" applyFill="1" applyBorder="1"/>
    <xf numFmtId="17" fontId="28" fillId="6" borderId="0" xfId="0" applyNumberFormat="1" applyFont="1" applyFill="1"/>
    <xf numFmtId="0" fontId="3" fillId="22" borderId="30" xfId="0" applyFont="1" applyFill="1" applyBorder="1" applyAlignment="1">
      <alignment horizontal="left" vertical="center"/>
    </xf>
    <xf numFmtId="0" fontId="3" fillId="22" borderId="31" xfId="0" applyFont="1" applyFill="1" applyBorder="1" applyAlignment="1">
      <alignment horizontal="left" vertical="center"/>
    </xf>
    <xf numFmtId="14" fontId="0" fillId="0" borderId="0" xfId="0" applyNumberFormat="1"/>
    <xf numFmtId="14" fontId="1" fillId="0" borderId="0" xfId="0" applyNumberFormat="1" applyFont="1"/>
    <xf numFmtId="22" fontId="0" fillId="0" borderId="0" xfId="0" applyNumberFormat="1"/>
    <xf numFmtId="165" fontId="1" fillId="0" borderId="0" xfId="0" applyNumberFormat="1" applyFont="1"/>
    <xf numFmtId="0" fontId="56" fillId="22" borderId="0" xfId="0" applyFont="1" applyFill="1" applyAlignment="1">
      <alignment horizontal="center" vertical="center" wrapText="1"/>
    </xf>
    <xf numFmtId="0" fontId="56" fillId="22" borderId="12" xfId="0" applyFont="1" applyFill="1" applyBorder="1" applyAlignment="1">
      <alignment horizontal="center" vertical="center" wrapText="1"/>
    </xf>
    <xf numFmtId="0" fontId="46" fillId="19" borderId="28" xfId="0" applyFont="1" applyFill="1" applyBorder="1" applyAlignment="1">
      <alignment horizontal="center" vertical="center"/>
    </xf>
    <xf numFmtId="0" fontId="46" fillId="20" borderId="28" xfId="0" applyFont="1" applyFill="1" applyBorder="1" applyAlignment="1">
      <alignment horizontal="left" vertical="center"/>
    </xf>
    <xf numFmtId="0" fontId="30" fillId="21" borderId="28" xfId="0" applyFont="1" applyFill="1" applyBorder="1" applyAlignment="1">
      <alignment horizontal="left" vertical="center" wrapText="1"/>
    </xf>
    <xf numFmtId="0" fontId="47" fillId="21" borderId="28" xfId="0" applyFont="1" applyFill="1" applyBorder="1" applyAlignment="1">
      <alignment horizontal="left" vertical="center" wrapText="1"/>
    </xf>
    <xf numFmtId="0" fontId="3" fillId="22" borderId="31" xfId="0" applyFont="1" applyFill="1" applyBorder="1" applyAlignment="1">
      <alignment horizontal="left" vertical="center"/>
    </xf>
    <xf numFmtId="0" fontId="37" fillId="15" borderId="32" xfId="0" applyFont="1" applyFill="1" applyBorder="1" applyAlignment="1">
      <alignment horizontal="left" vertical="center"/>
    </xf>
    <xf numFmtId="0" fontId="42" fillId="3" borderId="3" xfId="0" applyFont="1" applyFill="1" applyBorder="1" applyAlignment="1">
      <alignment horizontal="left" vertical="center"/>
    </xf>
    <xf numFmtId="0" fontId="42" fillId="3" borderId="5" xfId="0" applyFont="1" applyFill="1" applyBorder="1" applyAlignment="1">
      <alignment horizontal="left" vertical="center"/>
    </xf>
    <xf numFmtId="164" fontId="43" fillId="3" borderId="3" xfId="0" applyNumberFormat="1" applyFont="1" applyFill="1" applyBorder="1" applyAlignment="1">
      <alignment horizontal="right" vertical="center"/>
    </xf>
    <xf numFmtId="164" fontId="43" fillId="3" borderId="5" xfId="0" applyNumberFormat="1" applyFont="1" applyFill="1" applyBorder="1" applyAlignment="1">
      <alignment horizontal="right" vertical="center"/>
    </xf>
    <xf numFmtId="164" fontId="44" fillId="3" borderId="3" xfId="0" applyNumberFormat="1" applyFont="1" applyFill="1" applyBorder="1" applyAlignment="1">
      <alignment horizontal="right" vertical="center"/>
    </xf>
    <xf numFmtId="164" fontId="44" fillId="3" borderId="4" xfId="0" applyNumberFormat="1" applyFont="1" applyFill="1" applyBorder="1" applyAlignment="1">
      <alignment horizontal="right" vertical="center"/>
    </xf>
    <xf numFmtId="164" fontId="44" fillId="3" borderId="5" xfId="0" applyNumberFormat="1" applyFont="1" applyFill="1" applyBorder="1" applyAlignment="1">
      <alignment horizontal="right" vertical="center"/>
    </xf>
    <xf numFmtId="0" fontId="42" fillId="17" borderId="3" xfId="0" applyFont="1" applyFill="1" applyBorder="1" applyAlignment="1">
      <alignment horizontal="left" vertical="center"/>
    </xf>
    <xf numFmtId="0" fontId="42" fillId="17" borderId="4" xfId="0" applyFont="1" applyFill="1" applyBorder="1" applyAlignment="1">
      <alignment horizontal="left" vertical="center"/>
    </xf>
    <xf numFmtId="0" fontId="42" fillId="17" borderId="5" xfId="0" applyFont="1" applyFill="1" applyBorder="1" applyAlignment="1">
      <alignment horizontal="left" vertical="center"/>
    </xf>
    <xf numFmtId="164" fontId="43" fillId="17" borderId="3" xfId="0" applyNumberFormat="1" applyFont="1" applyFill="1" applyBorder="1" applyAlignment="1">
      <alignment horizontal="right" vertical="center"/>
    </xf>
    <xf numFmtId="164" fontId="43" fillId="17" borderId="5" xfId="0" applyNumberFormat="1" applyFont="1" applyFill="1" applyBorder="1" applyAlignment="1">
      <alignment horizontal="right" vertical="center"/>
    </xf>
    <xf numFmtId="164" fontId="44" fillId="17" borderId="3" xfId="0" applyNumberFormat="1" applyFont="1" applyFill="1" applyBorder="1" applyAlignment="1">
      <alignment horizontal="right" vertical="center"/>
    </xf>
    <xf numFmtId="164" fontId="44" fillId="17" borderId="4" xfId="0" applyNumberFormat="1" applyFont="1" applyFill="1" applyBorder="1" applyAlignment="1">
      <alignment horizontal="right" vertical="center"/>
    </xf>
    <xf numFmtId="164" fontId="44" fillId="17" borderId="5" xfId="0" applyNumberFormat="1" applyFont="1" applyFill="1" applyBorder="1" applyAlignment="1">
      <alignment horizontal="right" vertical="center"/>
    </xf>
    <xf numFmtId="0" fontId="38" fillId="16" borderId="1" xfId="0" applyFont="1" applyFill="1" applyBorder="1" applyAlignment="1">
      <alignment horizontal="left" vertical="center"/>
    </xf>
    <xf numFmtId="0" fontId="39" fillId="17" borderId="1" xfId="0" applyFont="1" applyFill="1" applyBorder="1" applyAlignment="1">
      <alignment horizontal="center" vertical="center" wrapText="1"/>
    </xf>
    <xf numFmtId="0" fontId="37" fillId="15" borderId="10" xfId="0" applyFont="1" applyFill="1" applyBorder="1" applyAlignment="1">
      <alignment horizontal="left" vertical="center"/>
    </xf>
    <xf numFmtId="0" fontId="61" fillId="22" borderId="0" xfId="0" applyFont="1" applyFill="1" applyAlignment="1">
      <alignment horizontal="left" vertical="center" wrapText="1"/>
    </xf>
    <xf numFmtId="0" fontId="52" fillId="22" borderId="0" xfId="0" applyFont="1" applyFill="1" applyAlignment="1">
      <alignment horizontal="center" vertical="center" wrapText="1"/>
    </xf>
    <xf numFmtId="0" fontId="32" fillId="22" borderId="0" xfId="0" applyFont="1" applyFill="1" applyAlignment="1">
      <alignment horizontal="right" vertical="center" wrapText="1"/>
    </xf>
    <xf numFmtId="0" fontId="42" fillId="3" borderId="4" xfId="0" applyFont="1" applyFill="1" applyBorder="1" applyAlignment="1">
      <alignment horizontal="left" vertical="center"/>
    </xf>
    <xf numFmtId="164" fontId="45" fillId="3" borderId="3" xfId="0" applyNumberFormat="1" applyFont="1" applyFill="1" applyBorder="1" applyAlignment="1">
      <alignment horizontal="right" vertical="center"/>
    </xf>
    <xf numFmtId="164" fontId="45" fillId="3" borderId="5" xfId="0" applyNumberFormat="1" applyFont="1" applyFill="1" applyBorder="1" applyAlignment="1">
      <alignment horizontal="right" vertical="center"/>
    </xf>
    <xf numFmtId="164" fontId="45" fillId="17" borderId="3" xfId="0" applyNumberFormat="1" applyFont="1" applyFill="1" applyBorder="1" applyAlignment="1">
      <alignment horizontal="right" vertical="center"/>
    </xf>
    <xf numFmtId="164" fontId="45" fillId="17" borderId="5" xfId="0" applyNumberFormat="1" applyFont="1" applyFill="1" applyBorder="1" applyAlignment="1">
      <alignment horizontal="right" vertical="center"/>
    </xf>
    <xf numFmtId="0" fontId="41" fillId="18" borderId="1" xfId="0" applyFont="1" applyFill="1" applyBorder="1" applyAlignment="1">
      <alignment horizontal="center" vertical="center"/>
    </xf>
    <xf numFmtId="0" fontId="38" fillId="16" borderId="18" xfId="0" applyFont="1" applyFill="1" applyBorder="1" applyAlignment="1">
      <alignment horizontal="center" vertical="center"/>
    </xf>
    <xf numFmtId="49" fontId="40" fillId="17" borderId="1" xfId="0" applyNumberFormat="1" applyFont="1" applyFill="1" applyBorder="1" applyAlignment="1">
      <alignment horizontal="center" vertical="center"/>
    </xf>
    <xf numFmtId="0" fontId="62" fillId="0" borderId="1" xfId="0" applyFont="1" applyBorder="1" applyAlignment="1">
      <alignment horizontal="left" vertical="center"/>
    </xf>
    <xf numFmtId="165" fontId="29" fillId="0" borderId="1" xfId="0" applyNumberFormat="1" applyFont="1" applyBorder="1" applyAlignment="1">
      <alignment horizontal="right" vertical="center"/>
    </xf>
    <xf numFmtId="0" fontId="3" fillId="13" borderId="1" xfId="0" applyFont="1" applyFill="1" applyBorder="1" applyAlignment="1">
      <alignment horizontal="center" vertical="center" shrinkToFit="1"/>
    </xf>
    <xf numFmtId="0" fontId="3" fillId="22" borderId="30" xfId="0" applyFont="1" applyFill="1" applyBorder="1" applyAlignment="1">
      <alignment horizontal="left" vertical="center"/>
    </xf>
    <xf numFmtId="0" fontId="37" fillId="22" borderId="25" xfId="0" applyFont="1" applyFill="1" applyBorder="1" applyAlignment="1">
      <alignment horizontal="left" vertical="center"/>
    </xf>
    <xf numFmtId="0" fontId="37" fillId="22" borderId="26" xfId="0" applyFont="1" applyFill="1" applyBorder="1" applyAlignment="1">
      <alignment horizontal="left" vertical="center"/>
    </xf>
    <xf numFmtId="0" fontId="37" fillId="22" borderId="27" xfId="0" applyFont="1" applyFill="1" applyBorder="1" applyAlignment="1">
      <alignment horizontal="left" vertical="center"/>
    </xf>
    <xf numFmtId="0" fontId="64" fillId="2" borderId="23" xfId="0" applyFont="1" applyFill="1" applyBorder="1" applyAlignment="1">
      <alignment horizontal="center" vertical="center"/>
    </xf>
    <xf numFmtId="0" fontId="64" fillId="2" borderId="21" xfId="0" applyFont="1" applyFill="1" applyBorder="1" applyAlignment="1">
      <alignment horizontal="center" vertical="center"/>
    </xf>
    <xf numFmtId="0" fontId="64" fillId="2" borderId="22" xfId="0" applyFont="1" applyFill="1" applyBorder="1" applyAlignment="1">
      <alignment horizontal="center" vertical="center"/>
    </xf>
    <xf numFmtId="0" fontId="48" fillId="3" borderId="20" xfId="0" applyFont="1" applyFill="1" applyBorder="1" applyAlignment="1">
      <alignment horizontal="center" vertical="center"/>
    </xf>
    <xf numFmtId="0" fontId="35" fillId="3" borderId="20" xfId="0" applyFont="1" applyFill="1" applyBorder="1" applyAlignment="1">
      <alignment horizontal="center" vertical="center"/>
    </xf>
    <xf numFmtId="9" fontId="36" fillId="3" borderId="20" xfId="0" applyNumberFormat="1" applyFont="1" applyFill="1" applyBorder="1" applyAlignment="1">
      <alignment horizontal="center" vertical="center"/>
    </xf>
    <xf numFmtId="165" fontId="33" fillId="3" borderId="20" xfId="0" applyNumberFormat="1" applyFont="1" applyFill="1" applyBorder="1" applyAlignment="1">
      <alignment horizontal="center" vertical="center"/>
    </xf>
    <xf numFmtId="0" fontId="34" fillId="3" borderId="20" xfId="0" applyFont="1" applyFill="1" applyBorder="1" applyAlignment="1">
      <alignment horizontal="center" vertical="center" wrapText="1"/>
    </xf>
    <xf numFmtId="0" fontId="65" fillId="2" borderId="23" xfId="0" applyFont="1" applyFill="1" applyBorder="1" applyAlignment="1">
      <alignment horizontal="left" vertical="center"/>
    </xf>
    <xf numFmtId="0" fontId="65" fillId="2" borderId="21" xfId="0" applyFont="1" applyFill="1" applyBorder="1" applyAlignment="1">
      <alignment horizontal="left" vertical="center"/>
    </xf>
    <xf numFmtId="0" fontId="65" fillId="2" borderId="22" xfId="0" applyFont="1" applyFill="1" applyBorder="1" applyAlignment="1">
      <alignment horizontal="left" vertical="center"/>
    </xf>
    <xf numFmtId="165" fontId="38" fillId="0" borderId="1" xfId="0" applyNumberFormat="1" applyFont="1" applyBorder="1" applyAlignment="1">
      <alignment horizontal="right" vertical="center"/>
    </xf>
    <xf numFmtId="0" fontId="51" fillId="6" borderId="10" xfId="0" applyFont="1" applyFill="1" applyBorder="1" applyAlignment="1">
      <alignment horizontal="left" vertical="center"/>
    </xf>
    <xf numFmtId="0" fontId="49" fillId="0" borderId="1" xfId="0" applyFont="1" applyBorder="1" applyAlignment="1">
      <alignment horizontal="center" vertical="center" shrinkToFit="1"/>
    </xf>
    <xf numFmtId="0" fontId="38" fillId="0" borderId="1" xfId="0" applyFont="1" applyBorder="1" applyAlignment="1">
      <alignment horizontal="right" vertical="center" shrinkToFit="1"/>
    </xf>
    <xf numFmtId="0" fontId="55" fillId="22" borderId="0" xfId="0" applyFont="1" applyFill="1" applyAlignment="1">
      <alignment horizontal="left" vertical="center"/>
    </xf>
    <xf numFmtId="0" fontId="16" fillId="22" borderId="0" xfId="0" applyFont="1" applyFill="1" applyAlignment="1">
      <alignment horizontal="left" vertical="center"/>
    </xf>
    <xf numFmtId="9" fontId="38" fillId="0" borderId="1" xfId="0" applyNumberFormat="1" applyFont="1" applyBorder="1" applyAlignment="1">
      <alignment horizontal="right" vertical="center"/>
    </xf>
    <xf numFmtId="49" fontId="63" fillId="0" borderId="1" xfId="0" applyNumberFormat="1" applyFont="1" applyBorder="1" applyAlignment="1">
      <alignment horizontal="right" vertical="center"/>
    </xf>
    <xf numFmtId="0" fontId="54" fillId="22" borderId="0" xfId="0" applyFont="1" applyFill="1" applyAlignment="1">
      <alignment horizontal="center" vertical="center" wrapText="1"/>
    </xf>
    <xf numFmtId="0" fontId="32" fillId="12" borderId="0" xfId="0" applyFont="1" applyFill="1" applyAlignment="1">
      <alignment horizontal="left" vertical="center"/>
    </xf>
    <xf numFmtId="0" fontId="32" fillId="26" borderId="6" xfId="0" applyFont="1" applyFill="1" applyBorder="1" applyAlignment="1">
      <alignment horizontal="center" vertical="center"/>
    </xf>
    <xf numFmtId="0" fontId="32" fillId="26" borderId="7" xfId="0" applyFont="1" applyFill="1" applyBorder="1" applyAlignment="1">
      <alignment horizontal="center" vertical="center"/>
    </xf>
    <xf numFmtId="169" fontId="59" fillId="27" borderId="6" xfId="0" applyNumberFormat="1" applyFont="1" applyFill="1" applyBorder="1" applyAlignment="1">
      <alignment horizontal="center" vertical="center"/>
    </xf>
    <xf numFmtId="169" fontId="59" fillId="27" borderId="7" xfId="0" applyNumberFormat="1" applyFont="1" applyFill="1" applyBorder="1" applyAlignment="1">
      <alignment horizontal="center" vertical="center"/>
    </xf>
    <xf numFmtId="169" fontId="59" fillId="27" borderId="2" xfId="0" applyNumberFormat="1" applyFont="1" applyFill="1" applyBorder="1" applyAlignment="1">
      <alignment horizontal="center" vertical="center"/>
    </xf>
    <xf numFmtId="169" fontId="59" fillId="27" borderId="0" xfId="0" applyNumberFormat="1" applyFont="1" applyFill="1" applyAlignment="1">
      <alignment horizontal="center" vertical="center"/>
    </xf>
    <xf numFmtId="169" fontId="59" fillId="27" borderId="9" xfId="0" applyNumberFormat="1" applyFont="1" applyFill="1" applyBorder="1" applyAlignment="1">
      <alignment horizontal="center" vertical="center"/>
    </xf>
    <xf numFmtId="169" fontId="59" fillId="27" borderId="10" xfId="0" applyNumberFormat="1" applyFont="1" applyFill="1" applyBorder="1" applyAlignment="1">
      <alignment horizontal="center" vertical="center"/>
    </xf>
    <xf numFmtId="0" fontId="32" fillId="12" borderId="6" xfId="0" applyFont="1" applyFill="1" applyBorder="1" applyAlignment="1">
      <alignment horizontal="center" vertical="center"/>
    </xf>
    <xf numFmtId="0" fontId="32" fillId="12" borderId="7" xfId="0" applyFont="1" applyFill="1" applyBorder="1" applyAlignment="1">
      <alignment horizontal="center" vertical="center"/>
    </xf>
    <xf numFmtId="169" fontId="57" fillId="24" borderId="6" xfId="0" applyNumberFormat="1" applyFont="1" applyFill="1" applyBorder="1" applyAlignment="1">
      <alignment horizontal="center" vertical="center"/>
    </xf>
    <xf numFmtId="169" fontId="57" fillId="24" borderId="7" xfId="0" applyNumberFormat="1" applyFont="1" applyFill="1" applyBorder="1" applyAlignment="1">
      <alignment horizontal="center" vertical="center"/>
    </xf>
    <xf numFmtId="169" fontId="57" fillId="24" borderId="2" xfId="0" applyNumberFormat="1" applyFont="1" applyFill="1" applyBorder="1" applyAlignment="1">
      <alignment horizontal="center" vertical="center"/>
    </xf>
    <xf numFmtId="169" fontId="57" fillId="24" borderId="0" xfId="0" applyNumberFormat="1" applyFont="1" applyFill="1" applyAlignment="1">
      <alignment horizontal="center" vertical="center"/>
    </xf>
    <xf numFmtId="169" fontId="57" fillId="24" borderId="9" xfId="0" applyNumberFormat="1" applyFont="1" applyFill="1" applyBorder="1" applyAlignment="1">
      <alignment horizontal="center" vertical="center"/>
    </xf>
    <xf numFmtId="169" fontId="57" fillId="24" borderId="10" xfId="0" applyNumberFormat="1" applyFont="1" applyFill="1" applyBorder="1" applyAlignment="1">
      <alignment horizontal="center" vertical="center"/>
    </xf>
    <xf numFmtId="0" fontId="32" fillId="14" borderId="6" xfId="0" applyFont="1" applyFill="1" applyBorder="1" applyAlignment="1">
      <alignment horizontal="center" vertical="center"/>
    </xf>
    <xf numFmtId="0" fontId="32" fillId="14" borderId="7" xfId="0" applyFont="1" applyFill="1" applyBorder="1" applyAlignment="1">
      <alignment horizontal="center" vertical="center"/>
    </xf>
    <xf numFmtId="169" fontId="58" fillId="25" borderId="6" xfId="0" applyNumberFormat="1" applyFont="1" applyFill="1" applyBorder="1" applyAlignment="1">
      <alignment horizontal="center" vertical="center"/>
    </xf>
    <xf numFmtId="169" fontId="58" fillId="25" borderId="7" xfId="0" applyNumberFormat="1" applyFont="1" applyFill="1" applyBorder="1" applyAlignment="1">
      <alignment horizontal="center" vertical="center"/>
    </xf>
    <xf numFmtId="169" fontId="58" fillId="25" borderId="2" xfId="0" applyNumberFormat="1" applyFont="1" applyFill="1" applyBorder="1" applyAlignment="1">
      <alignment horizontal="center" vertical="center"/>
    </xf>
    <xf numFmtId="169" fontId="58" fillId="25" borderId="0" xfId="0" applyNumberFormat="1" applyFont="1" applyFill="1" applyAlignment="1">
      <alignment horizontal="center" vertical="center"/>
    </xf>
    <xf numFmtId="169" fontId="58" fillId="25" borderId="9" xfId="0" applyNumberFormat="1" applyFont="1" applyFill="1" applyBorder="1" applyAlignment="1">
      <alignment horizontal="center" vertical="center"/>
    </xf>
    <xf numFmtId="169" fontId="58" fillId="25" borderId="10" xfId="0" applyNumberFormat="1" applyFont="1" applyFill="1" applyBorder="1" applyAlignment="1">
      <alignment horizontal="center" vertical="center"/>
    </xf>
    <xf numFmtId="0" fontId="53" fillId="23" borderId="29" xfId="0" applyFont="1" applyFill="1" applyBorder="1" applyAlignment="1">
      <alignment horizontal="left" vertical="center"/>
    </xf>
    <xf numFmtId="0" fontId="32" fillId="28" borderId="6" xfId="0" applyFont="1" applyFill="1" applyBorder="1" applyAlignment="1">
      <alignment horizontal="center" vertical="center"/>
    </xf>
    <xf numFmtId="0" fontId="32" fillId="28" borderId="7" xfId="0" applyFont="1" applyFill="1" applyBorder="1" applyAlignment="1">
      <alignment horizontal="center" vertical="center"/>
    </xf>
    <xf numFmtId="0" fontId="32" fillId="28" borderId="8" xfId="0" applyFont="1" applyFill="1" applyBorder="1" applyAlignment="1">
      <alignment horizontal="center" vertical="center"/>
    </xf>
    <xf numFmtId="1" fontId="60" fillId="29" borderId="6" xfId="0" applyNumberFormat="1" applyFont="1" applyFill="1" applyBorder="1" applyAlignment="1">
      <alignment horizontal="center" vertical="center"/>
    </xf>
    <xf numFmtId="1" fontId="60" fillId="29" borderId="7" xfId="0" applyNumberFormat="1" applyFont="1" applyFill="1" applyBorder="1" applyAlignment="1">
      <alignment horizontal="center" vertical="center"/>
    </xf>
    <xf numFmtId="1" fontId="60" fillId="29" borderId="8" xfId="0" applyNumberFormat="1" applyFont="1" applyFill="1" applyBorder="1" applyAlignment="1">
      <alignment horizontal="center" vertical="center"/>
    </xf>
    <xf numFmtId="1" fontId="60" fillId="29" borderId="2" xfId="0" applyNumberFormat="1" applyFont="1" applyFill="1" applyBorder="1" applyAlignment="1">
      <alignment horizontal="center" vertical="center"/>
    </xf>
    <xf numFmtId="1" fontId="60" fillId="29" borderId="0" xfId="0" applyNumberFormat="1" applyFont="1" applyFill="1" applyAlignment="1">
      <alignment horizontal="center" vertical="center"/>
    </xf>
    <xf numFmtId="1" fontId="60" fillId="29" borderId="12" xfId="0" applyNumberFormat="1" applyFont="1" applyFill="1" applyBorder="1" applyAlignment="1">
      <alignment horizontal="center" vertical="center"/>
    </xf>
    <xf numFmtId="1" fontId="60" fillId="29" borderId="9" xfId="0" applyNumberFormat="1" applyFont="1" applyFill="1" applyBorder="1" applyAlignment="1">
      <alignment horizontal="center" vertical="center"/>
    </xf>
    <xf numFmtId="1" fontId="60" fillId="29" borderId="10" xfId="0" applyNumberFormat="1" applyFont="1" applyFill="1" applyBorder="1" applyAlignment="1">
      <alignment horizontal="center" vertical="center"/>
    </xf>
    <xf numFmtId="1" fontId="60" fillId="29" borderId="11" xfId="0" applyNumberFormat="1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9" fontId="13" fillId="3" borderId="6" xfId="0" applyNumberFormat="1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4" fillId="3" borderId="1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9" fillId="3" borderId="1" xfId="0" applyFont="1" applyFill="1" applyBorder="1" applyAlignment="1">
      <alignment horizontal="center" vertical="center" wrapText="1"/>
    </xf>
    <xf numFmtId="165" fontId="17" fillId="7" borderId="13" xfId="0" applyNumberFormat="1" applyFont="1" applyFill="1" applyBorder="1" applyAlignment="1">
      <alignment horizontal="center" vertical="center"/>
    </xf>
    <xf numFmtId="165" fontId="19" fillId="7" borderId="13" xfId="0" applyNumberFormat="1" applyFont="1" applyFill="1" applyBorder="1" applyAlignment="1">
      <alignment horizontal="center" vertical="center"/>
    </xf>
    <xf numFmtId="165" fontId="20" fillId="7" borderId="13" xfId="0" applyNumberFormat="1" applyFont="1" applyFill="1" applyBorder="1" applyAlignment="1">
      <alignment horizontal="center" vertical="center"/>
    </xf>
    <xf numFmtId="3" fontId="21" fillId="7" borderId="13" xfId="0" applyNumberFormat="1" applyFont="1" applyFill="1" applyBorder="1" applyAlignment="1">
      <alignment horizontal="center" vertical="center"/>
    </xf>
    <xf numFmtId="0" fontId="66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left" vertical="center"/>
    </xf>
    <xf numFmtId="0" fontId="16" fillId="9" borderId="13" xfId="0" applyFont="1" applyFill="1" applyBorder="1" applyAlignment="1">
      <alignment horizontal="center" vertical="center"/>
    </xf>
    <xf numFmtId="0" fontId="16" fillId="10" borderId="13" xfId="0" applyFont="1" applyFill="1" applyBorder="1" applyAlignment="1">
      <alignment horizontal="center" vertical="center"/>
    </xf>
    <xf numFmtId="0" fontId="16" fillId="11" borderId="13" xfId="0" applyFont="1" applyFill="1" applyBorder="1" applyAlignment="1">
      <alignment horizontal="center" vertical="center"/>
    </xf>
    <xf numFmtId="0" fontId="16" fillId="8" borderId="13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numFmt numFmtId="19" formatCode="dd/mm/yyyy"/>
    </dxf>
    <dxf>
      <numFmt numFmtId="165" formatCode="&quot;R$&quot;\ #,##0.00"/>
    </dxf>
    <dxf>
      <numFmt numFmtId="165" formatCode="&quot;R$&quot;\ #,##0.00"/>
    </dxf>
    <dxf>
      <numFmt numFmtId="165" formatCode="&quot;R$&quot;\ #,##0.00"/>
    </dxf>
    <dxf>
      <numFmt numFmtId="27" formatCode="dd/mm/yyyy\ hh:mm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</dxf>
    <dxf>
      <numFmt numFmtId="165" formatCode="&quot;R$&quot;\ #,##0.00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Financeiro</c:v>
          </c:tx>
          <c:invertIfNegative val="0"/>
          <c:dLbls>
            <c:numFmt formatCode="\R&quot;R$&quot;\ #.##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Receitas</c:v>
              </c:pt>
              <c:pt idx="1">
                <c:v>Despesas</c:v>
              </c:pt>
            </c:strLit>
          </c:cat>
          <c:val>
            <c:numLit>
              <c:formatCode>General</c:formatCode>
              <c:ptCount val="2"/>
              <c:pt idx="0">
                <c:v>7200</c:v>
              </c:pt>
              <c:pt idx="1">
                <c:v>4450</c:v>
              </c:pt>
            </c:numLit>
          </c:val>
          <c:extLst>
            <c:ext xmlns:c16="http://schemas.microsoft.com/office/drawing/2014/chart" uri="{C3380CC4-5D6E-409C-BE32-E72D297353CC}">
              <c16:uniqueId val="{0000000D-4399-414E-99D3-BB174A267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7115711"/>
        <c:axId val="1963541071"/>
      </c:barChart>
      <c:catAx>
        <c:axId val="2057115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/>
            </a:pPr>
            <a:endParaRPr lang="pt-BR"/>
          </a:p>
        </c:txPr>
        <c:crossAx val="1963541071"/>
        <c:crosses val="autoZero"/>
        <c:auto val="1"/>
        <c:lblAlgn val="ctr"/>
        <c:lblOffset val="100"/>
        <c:noMultiLvlLbl val="0"/>
      </c:catAx>
      <c:valAx>
        <c:axId val="1963541071"/>
        <c:scaling>
          <c:orientation val="minMax"/>
          <c:max val="10000"/>
          <c:min val="0"/>
        </c:scaling>
        <c:delete val="0"/>
        <c:axPos val="l"/>
        <c:majorGridlines>
          <c:spPr>
            <a:ln>
              <a:solidFill>
                <a:srgbClr val="DCE2E6"/>
              </a:solidFill>
            </a:ln>
          </c:spPr>
        </c:majorGridlines>
        <c:numFmt formatCode="\R&quot;R$&quot;\ 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pt-BR"/>
          </a:p>
        </c:txPr>
        <c:crossAx val="2057115711"/>
        <c:crosses val="autoZero"/>
        <c:crossBetween val="between"/>
        <c:majorUnit val="2000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5273A"/>
                </a:solidFill>
                <a:latin typeface="Aptos"/>
                <a:ea typeface="Aptos"/>
                <a:cs typeface="Aptos"/>
              </a:defRPr>
            </a:pPr>
            <a:r>
              <a:rPr lang="en-US"/>
              <a:t>Receitas x Despesas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096021075487199"/>
          <c:y val="0.14311926605504585"/>
          <c:w val="0.86172840700963205"/>
          <c:h val="0.74311926605504586"/>
        </c:manualLayout>
      </c:layout>
      <c:barChart>
        <c:barDir val="col"/>
        <c:grouping val="clustered"/>
        <c:varyColors val="0"/>
        <c:ser>
          <c:idx val="0"/>
          <c:order val="0"/>
          <c:tx>
            <c:v>Financeiro</c:v>
          </c:tx>
          <c:invertIfNegative val="0"/>
          <c:dPt>
            <c:idx val="0"/>
            <c:invertIfNegative val="0"/>
            <c:bubble3D val="0"/>
            <c:spPr>
              <a:solidFill>
                <a:srgbClr val="27AE60"/>
              </a:solidFill>
              <a:ln>
                <a:solidFill>
                  <a:srgbClr val="27AE6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6214-4719-8BC8-74BA37D2A8E0}"/>
              </c:ext>
            </c:extLst>
          </c:dPt>
          <c:dPt>
            <c:idx val="1"/>
            <c:invertIfNegative val="0"/>
            <c:bubble3D val="0"/>
            <c:spPr>
              <a:solidFill>
                <a:srgbClr val="E74C3C"/>
              </a:solidFill>
              <a:ln>
                <a:solidFill>
                  <a:srgbClr val="E74C3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6214-4719-8BC8-74BA37D2A8E0}"/>
              </c:ext>
            </c:extLst>
          </c:dPt>
          <c:dLbls>
            <c:numFmt formatCode="&quot;R$ &quot;#.##0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latin typeface="Aptos"/>
                    <a:ea typeface="Aptos"/>
                    <a:cs typeface="Apto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Receitas</c:v>
              </c:pt>
              <c:pt idx="1">
                <c:v>Despesas</c:v>
              </c:pt>
            </c:strLit>
          </c:cat>
          <c:val>
            <c:numLit>
              <c:formatCode>General</c:formatCode>
              <c:ptCount val="2"/>
              <c:pt idx="0">
                <c:v>7200</c:v>
              </c:pt>
              <c:pt idx="1">
                <c:v>4450</c:v>
              </c:pt>
            </c:numLit>
          </c:val>
          <c:extLst>
            <c:ext xmlns:c16="http://schemas.microsoft.com/office/drawing/2014/chart" uri="{C3380CC4-5D6E-409C-BE32-E72D297353CC}">
              <c16:uniqueId val="{0000000A-6214-4719-8BC8-74BA37D2A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739151"/>
        <c:axId val="738735759"/>
      </c:barChart>
      <c:catAx>
        <c:axId val="8147391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D2D8DE"/>
            </a:solidFill>
          </a:ln>
        </c:spPr>
        <c:txPr>
          <a:bodyPr/>
          <a:lstStyle/>
          <a:p>
            <a:pPr>
              <a:defRPr sz="800" b="1">
                <a:solidFill>
                  <a:srgbClr val="37414B"/>
                </a:solidFill>
                <a:latin typeface="Aptos"/>
                <a:ea typeface="Aptos"/>
                <a:cs typeface="Aptos"/>
              </a:defRPr>
            </a:pPr>
            <a:endParaRPr lang="pt-BR"/>
          </a:p>
        </c:txPr>
        <c:crossAx val="738735759"/>
        <c:crosses val="autoZero"/>
        <c:auto val="1"/>
        <c:lblAlgn val="ctr"/>
        <c:lblOffset val="100"/>
        <c:noMultiLvlLbl val="0"/>
      </c:catAx>
      <c:valAx>
        <c:axId val="738735759"/>
        <c:scaling>
          <c:orientation val="minMax"/>
          <c:max val="8000"/>
          <c:min val="0"/>
        </c:scaling>
        <c:delete val="0"/>
        <c:axPos val="l"/>
        <c:majorGridlines>
          <c:spPr>
            <a:ln>
              <a:solidFill>
                <a:srgbClr val="E1E6EB"/>
              </a:solidFill>
            </a:ln>
          </c:spPr>
        </c:majorGridlines>
        <c:numFmt formatCode="&quot;R$ &quot;#.##0" sourceLinked="0"/>
        <c:majorTickMark val="out"/>
        <c:minorTickMark val="none"/>
        <c:tickLblPos val="nextTo"/>
        <c:spPr>
          <a:ln>
            <a:solidFill>
              <a:srgbClr val="D2D8DE"/>
            </a:solidFill>
          </a:ln>
        </c:spPr>
        <c:txPr>
          <a:bodyPr/>
          <a:lstStyle/>
          <a:p>
            <a:pPr>
              <a:defRPr sz="700">
                <a:latin typeface="Aptos"/>
                <a:ea typeface="Aptos"/>
                <a:cs typeface="Aptos"/>
              </a:defRPr>
            </a:pPr>
            <a:endParaRPr lang="pt-BR"/>
          </a:p>
        </c:txPr>
        <c:crossAx val="814739151"/>
        <c:crosses val="autoZero"/>
        <c:crossBetween val="between"/>
        <c:majorUnit val="2000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rgbClr val="DCE1E6"/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>
                <a:latin typeface="Aptos" panose="020B0004020202020204" pitchFamily="34" charset="0"/>
              </a:defRPr>
            </a:pPr>
            <a:r>
              <a:rPr lang="pt-BR" sz="1000" b="1">
                <a:latin typeface="Aptos" panose="020B0004020202020204" pitchFamily="34" charset="0"/>
              </a:rPr>
              <a:t>Despesas por Categoria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Despesas</c:v>
          </c:tx>
          <c:dPt>
            <c:idx val="0"/>
            <c:bubble3D val="0"/>
            <c:spPr>
              <a:solidFill>
                <a:srgbClr val="3498DB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85D7-411A-98DF-5684ECA3E22F}"/>
              </c:ext>
            </c:extLst>
          </c:dPt>
          <c:dPt>
            <c:idx val="1"/>
            <c:bubble3D val="0"/>
            <c:spPr>
              <a:solidFill>
                <a:srgbClr val="27AE60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85D7-411A-98DF-5684ECA3E22F}"/>
              </c:ext>
            </c:extLst>
          </c:dPt>
          <c:dPt>
            <c:idx val="2"/>
            <c:bubble3D val="0"/>
            <c:spPr>
              <a:solidFill>
                <a:srgbClr val="F1C40F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4-85D7-411A-98DF-5684ECA3E22F}"/>
              </c:ext>
            </c:extLst>
          </c:dPt>
          <c:cat>
            <c:strLit>
              <c:ptCount val="3"/>
              <c:pt idx="0">
                <c:v>Alimentação</c:v>
              </c:pt>
              <c:pt idx="1">
                <c:v>Contas</c:v>
              </c:pt>
              <c:pt idx="2">
                <c:v>Transporte</c:v>
              </c:pt>
            </c:strLit>
          </c:cat>
          <c:val>
            <c:numLit>
              <c:formatCode>General</c:formatCode>
              <c:ptCount val="3"/>
              <c:pt idx="0">
                <c:v>4000</c:v>
              </c:pt>
              <c:pt idx="1">
                <c:v>200</c:v>
              </c:pt>
              <c:pt idx="2">
                <c:v>250</c:v>
              </c:pt>
            </c:numLit>
          </c:val>
          <c:extLst>
            <c:ext xmlns:c16="http://schemas.microsoft.com/office/drawing/2014/chart" uri="{C3380CC4-5D6E-409C-BE32-E72D297353CC}">
              <c16:uniqueId val="{00000001-85D7-411A-98DF-5684ECA3E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txPr>
        <a:bodyPr/>
        <a:lstStyle/>
        <a:p>
          <a:pPr>
            <a:defRPr sz="700">
              <a:latin typeface="Aptos"/>
              <a:ea typeface="Aptos"/>
              <a:cs typeface="Apto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solidFill>
                  <a:srgbClr val="15273A"/>
                </a:solidFill>
              </a:defRPr>
            </a:pPr>
            <a:r>
              <a:rPr lang="pt-BR"/>
              <a:t>Evolução do Saldo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Saldo</c:v>
          </c:tx>
          <c:spPr>
            <a:ln w="31750">
              <a:solidFill>
                <a:srgbClr val="1F77B4"/>
              </a:solidFill>
            </a:ln>
          </c:spPr>
          <c:marker>
            <c:symbol val="circle"/>
            <c:size val="8"/>
            <c:spPr>
              <a:solidFill>
                <a:srgbClr val="FFFFFF"/>
              </a:solidFill>
              <a:ln w="31750">
                <a:solidFill>
                  <a:srgbClr val="1F77B4"/>
                </a:solidFill>
                <a:prstDash val="solid"/>
              </a:ln>
            </c:spPr>
          </c:marker>
          <c:dLbls>
            <c:numFmt formatCode="&quot;R$&quot;\ #.##0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282828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Dashboard_V2!$P$51:$P$52</c:f>
              <c:numCache>
                <c:formatCode>mmm\-yy</c:formatCode>
                <c:ptCount val="2"/>
                <c:pt idx="0">
                  <c:v>46235</c:v>
                </c:pt>
                <c:pt idx="1">
                  <c:v>46266</c:v>
                </c:pt>
              </c:numCache>
            </c:numRef>
          </c:cat>
          <c:val>
            <c:numRef>
              <c:f>Dashboard_V2!$Q$51:$Q$52</c:f>
              <c:numCache>
                <c:formatCode>"R$"\ #,##0.00</c:formatCode>
                <c:ptCount val="2"/>
                <c:pt idx="0">
                  <c:v>3600</c:v>
                </c:pt>
                <c:pt idx="1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7-4A71-9CB7-4D86DEC36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0092768"/>
        <c:axId val="1589653456"/>
      </c:lineChart>
      <c:dateAx>
        <c:axId val="1580092768"/>
        <c:scaling>
          <c:orientation val="minMax"/>
        </c:scaling>
        <c:delete val="0"/>
        <c:axPos val="b"/>
        <c:numFmt formatCode="mmm/yy" sourceLinked="0"/>
        <c:majorTickMark val="out"/>
        <c:minorTickMark val="none"/>
        <c:tickLblPos val="nextTo"/>
        <c:spPr>
          <a:ln>
            <a:solidFill>
              <a:srgbClr val="D2D7DC"/>
            </a:solidFill>
          </a:ln>
        </c:spPr>
        <c:txPr>
          <a:bodyPr/>
          <a:lstStyle/>
          <a:p>
            <a:pPr>
              <a:defRPr sz="800">
                <a:solidFill>
                  <a:srgbClr val="5A5A5A"/>
                </a:solidFill>
              </a:defRPr>
            </a:pPr>
            <a:endParaRPr lang="pt-BR"/>
          </a:p>
        </c:txPr>
        <c:crossAx val="1589653456"/>
        <c:crosses val="autoZero"/>
        <c:auto val="1"/>
        <c:lblOffset val="100"/>
        <c:baseTimeUnit val="months"/>
      </c:dateAx>
      <c:valAx>
        <c:axId val="1589653456"/>
        <c:scaling>
          <c:orientation val="minMax"/>
        </c:scaling>
        <c:delete val="0"/>
        <c:axPos val="l"/>
        <c:majorGridlines>
          <c:spPr>
            <a:ln w="9525">
              <a:solidFill>
                <a:srgbClr val="E1E6EB"/>
              </a:solidFill>
            </a:ln>
          </c:spPr>
        </c:majorGridlines>
        <c:numFmt formatCode="&quot;R$&quot;\ #.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A5A5A"/>
                </a:solidFill>
              </a:defRPr>
            </a:pPr>
            <a:endParaRPr lang="pt-BR"/>
          </a:p>
        </c:txPr>
        <c:crossAx val="15800927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&quot;R$&quot;\ #.##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Dashboard!$A$12:$A$13</c:f>
              <c:strCache>
                <c:ptCount val="2"/>
                <c:pt idx="0">
                  <c:v>Receitas</c:v>
                </c:pt>
                <c:pt idx="1">
                  <c:v>Despesas</c:v>
                </c:pt>
              </c:strCache>
            </c:strRef>
          </c:cat>
          <c:val>
            <c:numRef>
              <c:f>Dashboard!$B$12:$B$13</c:f>
              <c:numCache>
                <c:formatCode>"R$"\ #,##0.00</c:formatCode>
                <c:ptCount val="2"/>
                <c:pt idx="0">
                  <c:v>7200</c:v>
                </c:pt>
                <c:pt idx="1">
                  <c:v>4450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E3-4E10-BF7B-EB2E39BF8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62223"/>
        <c:axId val="2087039663"/>
      </c:barChart>
      <c:catAx>
        <c:axId val="93262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7039663"/>
        <c:crosses val="autoZero"/>
        <c:auto val="1"/>
        <c:lblAlgn val="ctr"/>
        <c:lblOffset val="100"/>
        <c:noMultiLvlLbl val="0"/>
      </c:catAx>
      <c:valAx>
        <c:axId val="2087039663"/>
        <c:scaling>
          <c:orientation val="minMax"/>
        </c:scaling>
        <c:delete val="0"/>
        <c:axPos val="l"/>
        <c:majorGridlines/>
        <c:numFmt formatCode="&quot;R$&quot;\ #,##0.00" sourceLinked="1"/>
        <c:majorTickMark val="out"/>
        <c:minorTickMark val="none"/>
        <c:tickLblPos val="nextTo"/>
        <c:crossAx val="9326222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CE1E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Distribuição das Despesas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Dashboard!$N$2</c:f>
              <c:strCache>
                <c:ptCount val="1"/>
                <c:pt idx="0">
                  <c:v>Sem despesas</c:v>
                </c:pt>
              </c:strCache>
            </c:strRef>
          </c:tx>
          <c:cat>
            <c:multiLvlStrRef>
              <c:f>Dashboard!$O$1</c:f>
            </c:multiLvlStrRef>
          </c:cat>
          <c:val>
            <c:numRef>
              <c:f>Dashboard!$O$2</c:f>
            </c:numRef>
          </c:val>
          <c:extLst>
            <c:ext xmlns:c16="http://schemas.microsoft.com/office/drawing/2014/chart" uri="{C3380CC4-5D6E-409C-BE32-E72D297353CC}">
              <c16:uniqueId val="{00000002-A7FC-4057-9F5F-446720290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Evolução do Saldo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Dashboard!$R$1</c:f>
              <c:strCache>
                <c:ptCount val="1"/>
                <c:pt idx="0">
                  <c:v>Saldo</c:v>
                </c:pt>
              </c:strCache>
            </c:strRef>
          </c:tx>
          <c:val>
            <c:numRef>
              <c:f>Dashboard!$R$2:$R$13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Dashboard!$Q$2:$Q$13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347-488F-8B87-2C249B4A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45983"/>
        <c:axId val="2087042063"/>
      </c:lineChart>
      <c:catAx>
        <c:axId val="93245983"/>
        <c:scaling>
          <c:orientation val="minMax"/>
        </c:scaling>
        <c:delete val="0"/>
        <c:axPos val="b"/>
        <c:majorTickMark val="out"/>
        <c:minorTickMark val="none"/>
        <c:tickLblPos val="nextTo"/>
        <c:crossAx val="2087042063"/>
        <c:crosses val="autoZero"/>
        <c:auto val="1"/>
        <c:lblAlgn val="ctr"/>
        <c:lblOffset val="100"/>
        <c:noMultiLvlLbl val="0"/>
      </c:catAx>
      <c:valAx>
        <c:axId val="2087042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Saldo</a:t>
                </a:r>
              </a:p>
            </c:rich>
          </c:tx>
          <c:overlay val="0"/>
        </c:title>
        <c:majorTickMark val="out"/>
        <c:minorTickMark val="none"/>
        <c:tickLblPos val="nextTo"/>
        <c:crossAx val="9324598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11</xdr:row>
      <xdr:rowOff>0</xdr:rowOff>
    </xdr:from>
    <xdr:to>
      <xdr:col>9</xdr:col>
      <xdr:colOff>0</xdr:colOff>
      <xdr:row>24</xdr:row>
      <xdr:rowOff>0</xdr:rowOff>
    </xdr:to>
    <xdr:graphicFrame macro="">
      <xdr:nvGraphicFramePr>
        <xdr:cNvPr id="9" name="chtV2ReceitasDespesas">
          <a:extLst>
            <a:ext uri="{FF2B5EF4-FFF2-40B4-BE49-F238E27FC236}">
              <a16:creationId xmlns:a16="http://schemas.microsoft.com/office/drawing/2014/main" id="{7C44FB6A-61B9-77FC-48F8-A263F071C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282575</xdr:colOff>
      <xdr:row>12</xdr:row>
      <xdr:rowOff>104775</xdr:rowOff>
    </xdr:from>
    <xdr:to>
      <xdr:col>11</xdr:col>
      <xdr:colOff>727075</xdr:colOff>
      <xdr:row>14</xdr:row>
      <xdr:rowOff>161925</xdr:rowOff>
    </xdr:to>
    <xdr:sp macro="" textlink="">
      <xdr:nvSpPr>
        <xdr:cNvPr id="11" name="SFE_V2_PERSONAGEM_ORELHA1">
          <a:extLst>
            <a:ext uri="{FF2B5EF4-FFF2-40B4-BE49-F238E27FC236}">
              <a16:creationId xmlns:a16="http://schemas.microsoft.com/office/drawing/2014/main" id="{B4B03ACF-367F-43EE-7BE1-8A55348A29E6}"/>
            </a:ext>
          </a:extLst>
        </xdr:cNvPr>
        <xdr:cNvSpPr/>
      </xdr:nvSpPr>
      <xdr:spPr>
        <a:xfrm rot="-1080000">
          <a:off x="9274175" y="3505200"/>
          <a:ext cx="444500" cy="609600"/>
        </a:xfrm>
        <a:prstGeom prst="ellipse">
          <a:avLst/>
        </a:prstGeom>
        <a:solidFill>
          <a:srgbClr val="E8D5BE"/>
        </a:solidFill>
        <a:ln w="1524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254000</xdr:colOff>
      <xdr:row>12</xdr:row>
      <xdr:rowOff>104775</xdr:rowOff>
    </xdr:from>
    <xdr:to>
      <xdr:col>12</xdr:col>
      <xdr:colOff>698500</xdr:colOff>
      <xdr:row>14</xdr:row>
      <xdr:rowOff>161925</xdr:rowOff>
    </xdr:to>
    <xdr:sp macro="" textlink="">
      <xdr:nvSpPr>
        <xdr:cNvPr id="12" name="SFE_V2_PERSONAGEM_ORELHA2">
          <a:extLst>
            <a:ext uri="{FF2B5EF4-FFF2-40B4-BE49-F238E27FC236}">
              <a16:creationId xmlns:a16="http://schemas.microsoft.com/office/drawing/2014/main" id="{0C5527A4-061C-9BA4-6324-F90C4EE4B14B}"/>
            </a:ext>
          </a:extLst>
        </xdr:cNvPr>
        <xdr:cNvSpPr/>
      </xdr:nvSpPr>
      <xdr:spPr>
        <a:xfrm rot="1080000">
          <a:off x="10226675" y="3505200"/>
          <a:ext cx="444500" cy="609600"/>
        </a:xfrm>
        <a:prstGeom prst="ellipse">
          <a:avLst/>
        </a:prstGeom>
        <a:solidFill>
          <a:srgbClr val="E8D5BE"/>
        </a:solidFill>
        <a:ln w="1524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244475</xdr:colOff>
      <xdr:row>13</xdr:row>
      <xdr:rowOff>82550</xdr:rowOff>
    </xdr:from>
    <xdr:to>
      <xdr:col>12</xdr:col>
      <xdr:colOff>736600</xdr:colOff>
      <xdr:row>18</xdr:row>
      <xdr:rowOff>73025</xdr:rowOff>
    </xdr:to>
    <xdr:sp macro="" textlink="">
      <xdr:nvSpPr>
        <xdr:cNvPr id="13" name="SFE_V2_PERSONAGEM_CABEA">
          <a:extLst>
            <a:ext uri="{FF2B5EF4-FFF2-40B4-BE49-F238E27FC236}">
              <a16:creationId xmlns:a16="http://schemas.microsoft.com/office/drawing/2014/main" id="{F929AA7B-0D4F-141D-D80C-216D97118F27}"/>
            </a:ext>
          </a:extLst>
        </xdr:cNvPr>
        <xdr:cNvSpPr/>
      </xdr:nvSpPr>
      <xdr:spPr>
        <a:xfrm>
          <a:off x="9236075" y="3759200"/>
          <a:ext cx="1473200" cy="1371600"/>
        </a:xfrm>
        <a:prstGeom prst="ellipse">
          <a:avLst/>
        </a:prstGeom>
        <a:solidFill>
          <a:srgbClr val="F5E2C9"/>
        </a:solidFill>
        <a:ln w="1651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574675</xdr:colOff>
      <xdr:row>15</xdr:row>
      <xdr:rowOff>0</xdr:rowOff>
    </xdr:from>
    <xdr:to>
      <xdr:col>11</xdr:col>
      <xdr:colOff>752475</xdr:colOff>
      <xdr:row>15</xdr:row>
      <xdr:rowOff>228600</xdr:rowOff>
    </xdr:to>
    <xdr:sp macro="" textlink="">
      <xdr:nvSpPr>
        <xdr:cNvPr id="14" name="SFE_V2_PERSONAGEM_OLHO1">
          <a:extLst>
            <a:ext uri="{FF2B5EF4-FFF2-40B4-BE49-F238E27FC236}">
              <a16:creationId xmlns:a16="http://schemas.microsoft.com/office/drawing/2014/main" id="{660A39A9-8FE3-7DF8-20D8-B25ADF54EF4A}"/>
            </a:ext>
          </a:extLst>
        </xdr:cNvPr>
        <xdr:cNvSpPr/>
      </xdr:nvSpPr>
      <xdr:spPr>
        <a:xfrm>
          <a:off x="9566275" y="4229100"/>
          <a:ext cx="177800" cy="228600"/>
        </a:xfrm>
        <a:prstGeom prst="ellipse">
          <a:avLst/>
        </a:prstGeom>
        <a:solidFill>
          <a:srgbClr val="23232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228600</xdr:colOff>
      <xdr:row>15</xdr:row>
      <xdr:rowOff>0</xdr:rowOff>
    </xdr:from>
    <xdr:to>
      <xdr:col>12</xdr:col>
      <xdr:colOff>406400</xdr:colOff>
      <xdr:row>15</xdr:row>
      <xdr:rowOff>228600</xdr:rowOff>
    </xdr:to>
    <xdr:sp macro="" textlink="">
      <xdr:nvSpPr>
        <xdr:cNvPr id="15" name="SFE_V2_PERSONAGEM_OLHO2">
          <a:extLst>
            <a:ext uri="{FF2B5EF4-FFF2-40B4-BE49-F238E27FC236}">
              <a16:creationId xmlns:a16="http://schemas.microsoft.com/office/drawing/2014/main" id="{B6A6BC7C-6351-1101-A5AF-601C34A2CF25}"/>
            </a:ext>
          </a:extLst>
        </xdr:cNvPr>
        <xdr:cNvSpPr/>
      </xdr:nvSpPr>
      <xdr:spPr>
        <a:xfrm>
          <a:off x="10201275" y="4229100"/>
          <a:ext cx="177800" cy="228600"/>
        </a:xfrm>
        <a:prstGeom prst="ellipse">
          <a:avLst/>
        </a:prstGeom>
        <a:solidFill>
          <a:srgbClr val="23232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9</xdr:col>
      <xdr:colOff>0</xdr:colOff>
      <xdr:row>24</xdr:row>
      <xdr:rowOff>0</xdr:rowOff>
    </xdr:to>
    <xdr:graphicFrame macro="">
      <xdr:nvGraphicFramePr>
        <xdr:cNvPr id="2" name="SFE_CENTRO_GRAFICO">
          <a:extLst>
            <a:ext uri="{FF2B5EF4-FFF2-40B4-BE49-F238E27FC236}">
              <a16:creationId xmlns:a16="http://schemas.microsoft.com/office/drawing/2014/main" id="{501FC154-E7EF-18C6-81A4-96C6FBA0F3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196215</xdr:colOff>
      <xdr:row>29</xdr:row>
      <xdr:rowOff>91154</xdr:rowOff>
    </xdr:from>
    <xdr:to>
      <xdr:col>6</xdr:col>
      <xdr:colOff>0</xdr:colOff>
      <xdr:row>31</xdr:row>
      <xdr:rowOff>110204</xdr:rowOff>
    </xdr:to>
    <xdr:sp macro="" textlink="">
      <xdr:nvSpPr>
        <xdr:cNvPr id="4" name="SFE_DISTRIBUICAO_TOTAL">
          <a:extLst>
            <a:ext uri="{FF2B5EF4-FFF2-40B4-BE49-F238E27FC236}">
              <a16:creationId xmlns:a16="http://schemas.microsoft.com/office/drawing/2014/main" id="{88ED7061-0CE7-2FBC-1384-F347C0F4AE89}"/>
            </a:ext>
          </a:extLst>
        </xdr:cNvPr>
        <xdr:cNvSpPr txBox="1"/>
      </xdr:nvSpPr>
      <xdr:spPr>
        <a:xfrm>
          <a:off x="2320290" y="8187404"/>
          <a:ext cx="1765935" cy="571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900" b="0">
              <a:solidFill>
                <a:srgbClr val="1F344B"/>
              </a:solidFill>
              <a:latin typeface="Aptos" panose="020B0004020202020204" pitchFamily="34" charset="0"/>
            </a:rPr>
            <a:t>R$ 4.450,00</a:t>
          </a:r>
        </a:p>
        <a:p>
          <a:pPr algn="ctr"/>
          <a:r>
            <a:rPr lang="pt-BR" sz="900" b="0">
              <a:solidFill>
                <a:srgbClr val="1F344B"/>
              </a:solidFill>
              <a:latin typeface="Aptos" panose="020B0004020202020204" pitchFamily="34" charset="0"/>
            </a:rPr>
            <a:t>Total despesas</a:t>
          </a:r>
        </a:p>
      </xdr:txBody>
    </xdr:sp>
    <xdr:clientData/>
  </xdr:twoCellAnchor>
  <xdr:twoCellAnchor>
    <xdr:from>
      <xdr:col>3</xdr:col>
      <xdr:colOff>0</xdr:colOff>
      <xdr:row>25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90" name="chtV2DistribuicaoDespesas">
          <a:extLst>
            <a:ext uri="{FF2B5EF4-FFF2-40B4-BE49-F238E27FC236}">
              <a16:creationId xmlns:a16="http://schemas.microsoft.com/office/drawing/2014/main" id="{6A8E4A64-ABEC-BAD3-A20C-467113B816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282575</xdr:colOff>
      <xdr:row>30</xdr:row>
      <xdr:rowOff>206375</xdr:rowOff>
    </xdr:from>
    <xdr:to>
      <xdr:col>6</xdr:col>
      <xdr:colOff>698500</xdr:colOff>
      <xdr:row>32</xdr:row>
      <xdr:rowOff>98425</xdr:rowOff>
    </xdr:to>
    <xdr:sp macro="" textlink="">
      <xdr:nvSpPr>
        <xdr:cNvPr id="91" name="SFE_V2_DISTRIBUICAO_TOTAL">
          <a:extLst>
            <a:ext uri="{FF2B5EF4-FFF2-40B4-BE49-F238E27FC236}">
              <a16:creationId xmlns:a16="http://schemas.microsoft.com/office/drawing/2014/main" id="{893CDDBE-E081-169A-D27B-E445D587DF61}"/>
            </a:ext>
          </a:extLst>
        </xdr:cNvPr>
        <xdr:cNvSpPr txBox="1"/>
      </xdr:nvSpPr>
      <xdr:spPr>
        <a:xfrm>
          <a:off x="3387725" y="8578850"/>
          <a:ext cx="13970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700">
              <a:solidFill>
                <a:srgbClr val="4B555F"/>
              </a:solidFill>
              <a:latin typeface="Aptos" panose="020B0004020202020204" pitchFamily="34" charset="0"/>
            </a:rPr>
            <a:t>R$ 4.450,00</a:t>
          </a:r>
        </a:p>
        <a:p>
          <a:pPr algn="ctr"/>
          <a:r>
            <a:rPr lang="pt-BR" sz="700">
              <a:solidFill>
                <a:srgbClr val="4B555F"/>
              </a:solidFill>
              <a:latin typeface="Aptos" panose="020B0004020202020204" pitchFamily="34" charset="0"/>
            </a:rPr>
            <a:t>Total despesas</a:t>
          </a:r>
        </a:p>
      </xdr:txBody>
    </xdr:sp>
    <xdr:clientData/>
  </xdr:twoCellAnchor>
  <xdr:twoCellAnchor>
    <xdr:from>
      <xdr:col>9</xdr:col>
      <xdr:colOff>25400</xdr:colOff>
      <xdr:row>31</xdr:row>
      <xdr:rowOff>63500</xdr:rowOff>
    </xdr:from>
    <xdr:to>
      <xdr:col>14</xdr:col>
      <xdr:colOff>955675</xdr:colOff>
      <xdr:row>31</xdr:row>
      <xdr:rowOff>266700</xdr:rowOff>
    </xdr:to>
    <xdr:sp macro="" textlink="">
      <xdr:nvSpPr>
        <xdr:cNvPr id="92" name="SFE_META_BARRA_FUNDO">
          <a:extLst>
            <a:ext uri="{FF2B5EF4-FFF2-40B4-BE49-F238E27FC236}">
              <a16:creationId xmlns:a16="http://schemas.microsoft.com/office/drawing/2014/main" id="{1484DD7E-0C94-C6C1-11AB-4B9EE5ACA9DB}"/>
            </a:ext>
          </a:extLst>
        </xdr:cNvPr>
        <xdr:cNvSpPr/>
      </xdr:nvSpPr>
      <xdr:spPr>
        <a:xfrm>
          <a:off x="7054850" y="8740775"/>
          <a:ext cx="5835650" cy="203200"/>
        </a:xfrm>
        <a:prstGeom prst="rect">
          <a:avLst/>
        </a:prstGeom>
        <a:solidFill>
          <a:srgbClr val="E1E6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25400</xdr:colOff>
      <xdr:row>31</xdr:row>
      <xdr:rowOff>63500</xdr:rowOff>
    </xdr:from>
    <xdr:to>
      <xdr:col>10</xdr:col>
      <xdr:colOff>503238</xdr:colOff>
      <xdr:row>31</xdr:row>
      <xdr:rowOff>266700</xdr:rowOff>
    </xdr:to>
    <xdr:sp macro="" textlink="">
      <xdr:nvSpPr>
        <xdr:cNvPr id="112" name="SFE_META_BARRA">
          <a:extLst>
            <a:ext uri="{FF2B5EF4-FFF2-40B4-BE49-F238E27FC236}">
              <a16:creationId xmlns:a16="http://schemas.microsoft.com/office/drawing/2014/main" id="{5EC6EBC5-1B6D-4170-1DE0-367225DFBAD5}"/>
            </a:ext>
          </a:extLst>
        </xdr:cNvPr>
        <xdr:cNvSpPr/>
      </xdr:nvSpPr>
      <xdr:spPr>
        <a:xfrm>
          <a:off x="7054850" y="8740775"/>
          <a:ext cx="1458913" cy="203200"/>
        </a:xfrm>
        <a:prstGeom prst="rect">
          <a:avLst/>
        </a:prstGeom>
        <a:solidFill>
          <a:srgbClr val="FFC10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0</xdr:colOff>
      <xdr:row>44</xdr:row>
      <xdr:rowOff>88900</xdr:rowOff>
    </xdr:from>
    <xdr:to>
      <xdr:col>9</xdr:col>
      <xdr:colOff>0</xdr:colOff>
      <xdr:row>44</xdr:row>
      <xdr:rowOff>203200</xdr:rowOff>
    </xdr:to>
    <xdr:sp macro="" textlink="">
      <xdr:nvSpPr>
        <xdr:cNvPr id="113" name="SFE_SAUDE_BARRA_FUNDO">
          <a:extLst>
            <a:ext uri="{FF2B5EF4-FFF2-40B4-BE49-F238E27FC236}">
              <a16:creationId xmlns:a16="http://schemas.microsoft.com/office/drawing/2014/main" id="{92E1F682-4953-4023-F8A2-F9B1924D1558}"/>
            </a:ext>
          </a:extLst>
        </xdr:cNvPr>
        <xdr:cNvSpPr/>
      </xdr:nvSpPr>
      <xdr:spPr>
        <a:xfrm>
          <a:off x="4086225" y="11804650"/>
          <a:ext cx="2943225" cy="114300"/>
        </a:xfrm>
        <a:prstGeom prst="roundRect">
          <a:avLst/>
        </a:prstGeom>
        <a:solidFill>
          <a:srgbClr val="E1E6E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0</xdr:colOff>
      <xdr:row>44</xdr:row>
      <xdr:rowOff>88900</xdr:rowOff>
    </xdr:from>
    <xdr:to>
      <xdr:col>7</xdr:col>
      <xdr:colOff>932021</xdr:colOff>
      <xdr:row>44</xdr:row>
      <xdr:rowOff>203200</xdr:rowOff>
    </xdr:to>
    <xdr:sp macro="" textlink="">
      <xdr:nvSpPr>
        <xdr:cNvPr id="114" name="SFE_SAUDE_BARRA">
          <a:extLst>
            <a:ext uri="{FF2B5EF4-FFF2-40B4-BE49-F238E27FC236}">
              <a16:creationId xmlns:a16="http://schemas.microsoft.com/office/drawing/2014/main" id="{8C7909BD-9CD5-7620-B63F-A4F1261A8030}"/>
            </a:ext>
          </a:extLst>
        </xdr:cNvPr>
        <xdr:cNvSpPr/>
      </xdr:nvSpPr>
      <xdr:spPr>
        <a:xfrm>
          <a:off x="4086225" y="11804650"/>
          <a:ext cx="1913096" cy="1143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38100</xdr:colOff>
      <xdr:row>11</xdr:row>
      <xdr:rowOff>38100</xdr:rowOff>
    </xdr:from>
    <xdr:to>
      <xdr:col>14</xdr:col>
      <xdr:colOff>942975</xdr:colOff>
      <xdr:row>23</xdr:row>
      <xdr:rowOff>238125</xdr:rowOff>
    </xdr:to>
    <xdr:sp macro="" textlink="">
      <xdr:nvSpPr>
        <xdr:cNvPr id="116" name="SFE_V2_PERSONAGEM_FUNDO">
          <a:extLst>
            <a:ext uri="{FF2B5EF4-FFF2-40B4-BE49-F238E27FC236}">
              <a16:creationId xmlns:a16="http://schemas.microsoft.com/office/drawing/2014/main" id="{922DB176-4ACD-F758-638D-45F67544E3C3}"/>
            </a:ext>
          </a:extLst>
        </xdr:cNvPr>
        <xdr:cNvSpPr/>
      </xdr:nvSpPr>
      <xdr:spPr>
        <a:xfrm>
          <a:off x="7067550" y="3162300"/>
          <a:ext cx="5810250" cy="3514725"/>
        </a:xfrm>
        <a:prstGeom prst="roundRect">
          <a:avLst>
            <a:gd name="adj" fmla="val 12000"/>
          </a:avLst>
        </a:prstGeom>
        <a:solidFill>
          <a:srgbClr val="F8FAFC"/>
        </a:solidFill>
        <a:ln w="12700">
          <a:solidFill>
            <a:srgbClr val="DAE1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177800</xdr:colOff>
      <xdr:row>11</xdr:row>
      <xdr:rowOff>127000</xdr:rowOff>
    </xdr:from>
    <xdr:to>
      <xdr:col>10</xdr:col>
      <xdr:colOff>9525</xdr:colOff>
      <xdr:row>12</xdr:row>
      <xdr:rowOff>79375</xdr:rowOff>
    </xdr:to>
    <xdr:sp macro="" textlink="">
      <xdr:nvSpPr>
        <xdr:cNvPr id="117" name="SFE_V2_PERSONAGEM_BADGE">
          <a:extLst>
            <a:ext uri="{FF2B5EF4-FFF2-40B4-BE49-F238E27FC236}">
              <a16:creationId xmlns:a16="http://schemas.microsoft.com/office/drawing/2014/main" id="{B92EF4F8-C3B6-8F7B-7F0A-636D71DC74B1}"/>
            </a:ext>
          </a:extLst>
        </xdr:cNvPr>
        <xdr:cNvSpPr/>
      </xdr:nvSpPr>
      <xdr:spPr>
        <a:xfrm>
          <a:off x="7207250" y="3251200"/>
          <a:ext cx="812800" cy="228600"/>
        </a:xfrm>
        <a:prstGeom prst="roundRect">
          <a:avLst>
            <a:gd name="adj" fmla="val 20000"/>
          </a:avLst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650" b="1">
              <a:solidFill>
                <a:srgbClr val="FFFFFF"/>
              </a:solidFill>
              <a:latin typeface="Aptos" panose="020B0004020202020204" pitchFamily="34" charset="0"/>
            </a:rPr>
            <a:t>VISÃO GERAL</a:t>
          </a:r>
        </a:p>
      </xdr:txBody>
    </xdr:sp>
    <xdr:clientData/>
  </xdr:twoCellAnchor>
  <xdr:twoCellAnchor>
    <xdr:from>
      <xdr:col>10</xdr:col>
      <xdr:colOff>60325</xdr:colOff>
      <xdr:row>11</xdr:row>
      <xdr:rowOff>114300</xdr:rowOff>
    </xdr:from>
    <xdr:to>
      <xdr:col>14</xdr:col>
      <xdr:colOff>803275</xdr:colOff>
      <xdr:row>12</xdr:row>
      <xdr:rowOff>92075</xdr:rowOff>
    </xdr:to>
    <xdr:sp macro="" textlink="">
      <xdr:nvSpPr>
        <xdr:cNvPr id="118" name="SFE_V2_PERSONAGEM_TITULO">
          <a:extLst>
            <a:ext uri="{FF2B5EF4-FFF2-40B4-BE49-F238E27FC236}">
              <a16:creationId xmlns:a16="http://schemas.microsoft.com/office/drawing/2014/main" id="{3562A0FA-E711-16A8-733E-432C09C19428}"/>
            </a:ext>
          </a:extLst>
        </xdr:cNvPr>
        <xdr:cNvSpPr txBox="1"/>
      </xdr:nvSpPr>
      <xdr:spPr>
        <a:xfrm>
          <a:off x="8070850" y="3238500"/>
          <a:ext cx="466725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lang="pt-BR" sz="950" b="1">
              <a:solidFill>
                <a:srgbClr val="15273A"/>
              </a:solidFill>
              <a:latin typeface="Aptos Display" panose="020B0004020202020204" pitchFamily="34" charset="0"/>
            </a:rPr>
            <a:t>SEU MOMENTO FINANCEIRO</a:t>
          </a:r>
        </a:p>
      </xdr:txBody>
    </xdr:sp>
    <xdr:clientData/>
  </xdr:twoCellAnchor>
  <xdr:twoCellAnchor>
    <xdr:from>
      <xdr:col>9</xdr:col>
      <xdr:colOff>571500</xdr:colOff>
      <xdr:row>12</xdr:row>
      <xdr:rowOff>117475</xdr:rowOff>
    </xdr:from>
    <xdr:to>
      <xdr:col>14</xdr:col>
      <xdr:colOff>409575</xdr:colOff>
      <xdr:row>13</xdr:row>
      <xdr:rowOff>31750</xdr:rowOff>
    </xdr:to>
    <xdr:sp macro="" textlink="">
      <xdr:nvSpPr>
        <xdr:cNvPr id="119" name="SFE_V2_PERSONAGEM_SUBTITULO">
          <a:extLst>
            <a:ext uri="{FF2B5EF4-FFF2-40B4-BE49-F238E27FC236}">
              <a16:creationId xmlns:a16="http://schemas.microsoft.com/office/drawing/2014/main" id="{95B6E90F-8A38-C34B-2EF1-3AC5CABC18C7}"/>
            </a:ext>
          </a:extLst>
        </xdr:cNvPr>
        <xdr:cNvSpPr txBox="1"/>
      </xdr:nvSpPr>
      <xdr:spPr>
        <a:xfrm>
          <a:off x="7600950" y="3517900"/>
          <a:ext cx="474345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720" i="1">
              <a:solidFill>
                <a:srgbClr val="646E78"/>
              </a:solidFill>
              <a:latin typeface="Aptos" panose="020B0004020202020204" pitchFamily="34" charset="0"/>
            </a:rPr>
            <a:t>Pequenos passos constroem grandes resultados.</a:t>
          </a:r>
        </a:p>
      </xdr:txBody>
    </xdr:sp>
    <xdr:clientData/>
  </xdr:twoCellAnchor>
  <xdr:twoCellAnchor>
    <xdr:from>
      <xdr:col>9</xdr:col>
      <xdr:colOff>317500</xdr:colOff>
      <xdr:row>13</xdr:row>
      <xdr:rowOff>57150</xdr:rowOff>
    </xdr:from>
    <xdr:to>
      <xdr:col>14</xdr:col>
      <xdr:colOff>663575</xdr:colOff>
      <xdr:row>13</xdr:row>
      <xdr:rowOff>69850</xdr:rowOff>
    </xdr:to>
    <xdr:sp macro="" textlink="">
      <xdr:nvSpPr>
        <xdr:cNvPr id="120" name="SFE_V2_PERSONAGEM_SEPARADOR">
          <a:extLst>
            <a:ext uri="{FF2B5EF4-FFF2-40B4-BE49-F238E27FC236}">
              <a16:creationId xmlns:a16="http://schemas.microsoft.com/office/drawing/2014/main" id="{A9D73823-0695-62C0-D8C0-F9B7D18F94A8}"/>
            </a:ext>
          </a:extLst>
        </xdr:cNvPr>
        <xdr:cNvSpPr/>
      </xdr:nvSpPr>
      <xdr:spPr>
        <a:xfrm>
          <a:off x="7346950" y="3733800"/>
          <a:ext cx="5251450" cy="12700"/>
        </a:xfrm>
        <a:prstGeom prst="rect">
          <a:avLst/>
        </a:prstGeom>
        <a:solidFill>
          <a:srgbClr val="E1E6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320675</xdr:colOff>
      <xdr:row>12</xdr:row>
      <xdr:rowOff>244475</xdr:rowOff>
    </xdr:from>
    <xdr:to>
      <xdr:col>11</xdr:col>
      <xdr:colOff>727075</xdr:colOff>
      <xdr:row>15</xdr:row>
      <xdr:rowOff>25400</xdr:rowOff>
    </xdr:to>
    <xdr:sp macro="" textlink="">
      <xdr:nvSpPr>
        <xdr:cNvPr id="121" name="SFE_V2_PERSONAGEM_ORELHA_E">
          <a:extLst>
            <a:ext uri="{FF2B5EF4-FFF2-40B4-BE49-F238E27FC236}">
              <a16:creationId xmlns:a16="http://schemas.microsoft.com/office/drawing/2014/main" id="{B6C90256-B1AE-8D11-B54B-DEA925D8CA9D}"/>
            </a:ext>
          </a:extLst>
        </xdr:cNvPr>
        <xdr:cNvSpPr/>
      </xdr:nvSpPr>
      <xdr:spPr>
        <a:xfrm rot="-720000">
          <a:off x="9312275" y="3644900"/>
          <a:ext cx="406400" cy="609600"/>
        </a:xfrm>
        <a:prstGeom prst="ellipse">
          <a:avLst/>
        </a:prstGeom>
        <a:solidFill>
          <a:srgbClr val="E8D2B2"/>
        </a:solidFill>
        <a:ln w="10160">
          <a:solidFill>
            <a:srgbClr val="BEA5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254000</xdr:colOff>
      <xdr:row>12</xdr:row>
      <xdr:rowOff>244475</xdr:rowOff>
    </xdr:from>
    <xdr:to>
      <xdr:col>12</xdr:col>
      <xdr:colOff>660400</xdr:colOff>
      <xdr:row>15</xdr:row>
      <xdr:rowOff>25400</xdr:rowOff>
    </xdr:to>
    <xdr:sp macro="" textlink="">
      <xdr:nvSpPr>
        <xdr:cNvPr id="122" name="SFE_V2_PERSONAGEM_ORELHA_D">
          <a:extLst>
            <a:ext uri="{FF2B5EF4-FFF2-40B4-BE49-F238E27FC236}">
              <a16:creationId xmlns:a16="http://schemas.microsoft.com/office/drawing/2014/main" id="{B6DECEB8-9D4A-A65E-B72D-3FC15FCC2DA8}"/>
            </a:ext>
          </a:extLst>
        </xdr:cNvPr>
        <xdr:cNvSpPr/>
      </xdr:nvSpPr>
      <xdr:spPr>
        <a:xfrm rot="720000">
          <a:off x="10226675" y="3644900"/>
          <a:ext cx="406400" cy="609600"/>
        </a:xfrm>
        <a:prstGeom prst="ellipse">
          <a:avLst/>
        </a:prstGeom>
        <a:solidFill>
          <a:srgbClr val="E8D2B2"/>
        </a:solidFill>
        <a:ln w="10160">
          <a:solidFill>
            <a:srgbClr val="BEA5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282575</xdr:colOff>
      <xdr:row>13</xdr:row>
      <xdr:rowOff>171450</xdr:rowOff>
    </xdr:from>
    <xdr:to>
      <xdr:col>12</xdr:col>
      <xdr:colOff>698500</xdr:colOff>
      <xdr:row>18</xdr:row>
      <xdr:rowOff>34925</xdr:rowOff>
    </xdr:to>
    <xdr:sp macro="" textlink="">
      <xdr:nvSpPr>
        <xdr:cNvPr id="123" name="SFE_V2_PERSONAGEM_CABECA">
          <a:extLst>
            <a:ext uri="{FF2B5EF4-FFF2-40B4-BE49-F238E27FC236}">
              <a16:creationId xmlns:a16="http://schemas.microsoft.com/office/drawing/2014/main" id="{AFB80F59-B5C6-1077-664D-5579C3EB55D4}"/>
            </a:ext>
          </a:extLst>
        </xdr:cNvPr>
        <xdr:cNvSpPr/>
      </xdr:nvSpPr>
      <xdr:spPr>
        <a:xfrm>
          <a:off x="9274175" y="3848100"/>
          <a:ext cx="1397000" cy="1244600"/>
        </a:xfrm>
        <a:prstGeom prst="ellipse">
          <a:avLst/>
        </a:prstGeom>
        <a:solidFill>
          <a:srgbClr val="EEDABB"/>
        </a:solidFill>
        <a:ln w="12700">
          <a:solidFill>
            <a:srgbClr val="BEA5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638175</xdr:colOff>
      <xdr:row>15</xdr:row>
      <xdr:rowOff>12700</xdr:rowOff>
    </xdr:from>
    <xdr:to>
      <xdr:col>11</xdr:col>
      <xdr:colOff>790575</xdr:colOff>
      <xdr:row>15</xdr:row>
      <xdr:rowOff>203200</xdr:rowOff>
    </xdr:to>
    <xdr:sp macro="" textlink="">
      <xdr:nvSpPr>
        <xdr:cNvPr id="124" name="SFE_V2_PERSONAGEM_OLHO_E">
          <a:extLst>
            <a:ext uri="{FF2B5EF4-FFF2-40B4-BE49-F238E27FC236}">
              <a16:creationId xmlns:a16="http://schemas.microsoft.com/office/drawing/2014/main" id="{7227BE5E-AAA4-676D-C1DF-5DAF6443F131}"/>
            </a:ext>
          </a:extLst>
        </xdr:cNvPr>
        <xdr:cNvSpPr/>
      </xdr:nvSpPr>
      <xdr:spPr>
        <a:xfrm>
          <a:off x="9629775" y="4241800"/>
          <a:ext cx="152400" cy="190500"/>
        </a:xfrm>
        <a:prstGeom prst="ellipse">
          <a:avLst/>
        </a:prstGeom>
        <a:solidFill>
          <a:srgbClr val="2828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190500</xdr:colOff>
      <xdr:row>15</xdr:row>
      <xdr:rowOff>12700</xdr:rowOff>
    </xdr:from>
    <xdr:to>
      <xdr:col>12</xdr:col>
      <xdr:colOff>342900</xdr:colOff>
      <xdr:row>15</xdr:row>
      <xdr:rowOff>203200</xdr:rowOff>
    </xdr:to>
    <xdr:sp macro="" textlink="">
      <xdr:nvSpPr>
        <xdr:cNvPr id="125" name="SFE_V2_PERSONAGEM_OLHO_D">
          <a:extLst>
            <a:ext uri="{FF2B5EF4-FFF2-40B4-BE49-F238E27FC236}">
              <a16:creationId xmlns:a16="http://schemas.microsoft.com/office/drawing/2014/main" id="{5E4C259A-A2DA-A21E-0DA2-7DFE871646F6}"/>
            </a:ext>
          </a:extLst>
        </xdr:cNvPr>
        <xdr:cNvSpPr/>
      </xdr:nvSpPr>
      <xdr:spPr>
        <a:xfrm>
          <a:off x="10163175" y="4241800"/>
          <a:ext cx="152400" cy="190500"/>
        </a:xfrm>
        <a:prstGeom prst="ellipse">
          <a:avLst/>
        </a:prstGeom>
        <a:solidFill>
          <a:srgbClr val="2828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917575</xdr:colOff>
      <xdr:row>15</xdr:row>
      <xdr:rowOff>254000</xdr:rowOff>
    </xdr:from>
    <xdr:to>
      <xdr:col>12</xdr:col>
      <xdr:colOff>76200</xdr:colOff>
      <xdr:row>16</xdr:row>
      <xdr:rowOff>92075</xdr:rowOff>
    </xdr:to>
    <xdr:sp macro="" textlink="">
      <xdr:nvSpPr>
        <xdr:cNvPr id="126" name="SFE_V2_PERSONAGEM_NARIZ">
          <a:extLst>
            <a:ext uri="{FF2B5EF4-FFF2-40B4-BE49-F238E27FC236}">
              <a16:creationId xmlns:a16="http://schemas.microsoft.com/office/drawing/2014/main" id="{261E7482-0EBC-19C5-47A5-C58A36CDC731}"/>
            </a:ext>
          </a:extLst>
        </xdr:cNvPr>
        <xdr:cNvSpPr/>
      </xdr:nvSpPr>
      <xdr:spPr>
        <a:xfrm rot="10800000">
          <a:off x="9909175" y="4483100"/>
          <a:ext cx="139700" cy="114300"/>
        </a:xfrm>
        <a:prstGeom prst="triangle">
          <a:avLst/>
        </a:prstGeom>
        <a:solidFill>
          <a:srgbClr val="D6686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219075</xdr:colOff>
      <xdr:row>16</xdr:row>
      <xdr:rowOff>79375</xdr:rowOff>
    </xdr:from>
    <xdr:to>
      <xdr:col>12</xdr:col>
      <xdr:colOff>254000</xdr:colOff>
      <xdr:row>18</xdr:row>
      <xdr:rowOff>9525</xdr:rowOff>
    </xdr:to>
    <xdr:sp macro="" textlink="">
      <xdr:nvSpPr>
        <xdr:cNvPr id="127" name="SFE_V2_PERSONAGEM_BOCA">
          <a:extLst>
            <a:ext uri="{FF2B5EF4-FFF2-40B4-BE49-F238E27FC236}">
              <a16:creationId xmlns:a16="http://schemas.microsoft.com/office/drawing/2014/main" id="{2630259A-4865-36CC-A8D5-C925A23B47E5}"/>
            </a:ext>
          </a:extLst>
        </xdr:cNvPr>
        <xdr:cNvSpPr/>
      </xdr:nvSpPr>
      <xdr:spPr>
        <a:xfrm>
          <a:off x="9210675" y="4584700"/>
          <a:ext cx="1016000" cy="482600"/>
        </a:xfrm>
        <a:prstGeom prst="arc">
          <a:avLst/>
        </a:prstGeom>
        <a:ln w="15240">
          <a:solidFill>
            <a:srgbClr val="50464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279400</xdr:colOff>
      <xdr:row>18</xdr:row>
      <xdr:rowOff>136525</xdr:rowOff>
    </xdr:from>
    <xdr:to>
      <xdr:col>14</xdr:col>
      <xdr:colOff>701675</xdr:colOff>
      <xdr:row>20</xdr:row>
      <xdr:rowOff>41275</xdr:rowOff>
    </xdr:to>
    <xdr:sp macro="" textlink="">
      <xdr:nvSpPr>
        <xdr:cNvPr id="128" name="SFE_V2_PERSONAGEM_MENSAGEM">
          <a:extLst>
            <a:ext uri="{FF2B5EF4-FFF2-40B4-BE49-F238E27FC236}">
              <a16:creationId xmlns:a16="http://schemas.microsoft.com/office/drawing/2014/main" id="{91822E37-6C04-7394-2045-FC24071BE368}"/>
            </a:ext>
          </a:extLst>
        </xdr:cNvPr>
        <xdr:cNvSpPr/>
      </xdr:nvSpPr>
      <xdr:spPr>
        <a:xfrm>
          <a:off x="7308850" y="5194300"/>
          <a:ext cx="5327650" cy="457200"/>
        </a:xfrm>
        <a:prstGeom prst="roundRect">
          <a:avLst>
            <a:gd name="adj" fmla="val 15000"/>
          </a:avLst>
        </a:prstGeom>
        <a:solidFill>
          <a:srgbClr val="FFFFFF"/>
        </a:solidFill>
        <a:ln w="10160">
          <a:solidFill>
            <a:srgbClr val="DCE2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50">
              <a:solidFill>
                <a:srgbClr val="37414B"/>
              </a:solidFill>
              <a:latin typeface="Aptos" panose="020B0004020202020204" pitchFamily="34" charset="0"/>
            </a:rPr>
            <a:t>Você está no caminho certo!</a:t>
          </a:r>
        </a:p>
        <a:p>
          <a:pPr algn="ctr"/>
          <a:r>
            <a:rPr lang="pt-BR" sz="750">
              <a:solidFill>
                <a:srgbClr val="37414B"/>
              </a:solidFill>
              <a:latin typeface="Aptos" panose="020B0004020202020204" pitchFamily="34" charset="0"/>
            </a:rPr>
            <a:t>Continue acompanhando suas finanças.</a:t>
          </a:r>
        </a:p>
      </xdr:txBody>
    </xdr:sp>
    <xdr:clientData/>
  </xdr:twoCellAnchor>
  <xdr:twoCellAnchor>
    <xdr:from>
      <xdr:col>3</xdr:col>
      <xdr:colOff>0</xdr:colOff>
      <xdr:row>50</xdr:row>
      <xdr:rowOff>0</xdr:rowOff>
    </xdr:from>
    <xdr:to>
      <xdr:col>14</xdr:col>
      <xdr:colOff>0</xdr:colOff>
      <xdr:row>60</xdr:row>
      <xdr:rowOff>158750</xdr:rowOff>
    </xdr:to>
    <xdr:graphicFrame macro="">
      <xdr:nvGraphicFramePr>
        <xdr:cNvPr id="132" name="chtV2EvolucaoSaldo">
          <a:extLst>
            <a:ext uri="{FF2B5EF4-FFF2-40B4-BE49-F238E27FC236}">
              <a16:creationId xmlns:a16="http://schemas.microsoft.com/office/drawing/2014/main" id="{7502ADAA-199B-0381-CC92-769496A146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22" name="chtReceitasDespesas">
          <a:extLst>
            <a:ext uri="{FF2B5EF4-FFF2-40B4-BE49-F238E27FC236}">
              <a16:creationId xmlns:a16="http://schemas.microsoft.com/office/drawing/2014/main" id="{26D76023-1C31-75AF-E10D-BF853BD23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4" name="sfPersonagemFundo">
          <a:extLst>
            <a:ext uri="{FF2B5EF4-FFF2-40B4-BE49-F238E27FC236}">
              <a16:creationId xmlns:a16="http://schemas.microsoft.com/office/drawing/2014/main" id="{902C852C-0467-3262-10D5-CDBFA4518578}"/>
            </a:ext>
          </a:extLst>
        </xdr:cNvPr>
        <xdr:cNvSpPr/>
      </xdr:nvSpPr>
      <xdr:spPr>
        <a:xfrm>
          <a:off x="12452350" y="4724400"/>
          <a:ext cx="0" cy="2082800"/>
        </a:xfrm>
        <a:prstGeom prst="roundRect">
          <a:avLst/>
        </a:prstGeom>
        <a:solidFill>
          <a:srgbClr val="FFFFFF"/>
        </a:solidFill>
        <a:ln w="12700"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4</xdr:col>
      <xdr:colOff>692150</xdr:colOff>
      <xdr:row>39</xdr:row>
      <xdr:rowOff>127000</xdr:rowOff>
    </xdr:to>
    <xdr:graphicFrame macro="">
      <xdr:nvGraphicFramePr>
        <xdr:cNvPr id="27" name="chtDistribuicaoDespesas">
          <a:extLst>
            <a:ext uri="{FF2B5EF4-FFF2-40B4-BE49-F238E27FC236}">
              <a16:creationId xmlns:a16="http://schemas.microsoft.com/office/drawing/2014/main" id="{BB7FE915-FA8C-70B6-E88E-C5B805FB8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27</xdr:row>
      <xdr:rowOff>0</xdr:rowOff>
    </xdr:from>
    <xdr:to>
      <xdr:col>11</xdr:col>
      <xdr:colOff>0</xdr:colOff>
      <xdr:row>39</xdr:row>
      <xdr:rowOff>127000</xdr:rowOff>
    </xdr:to>
    <xdr:graphicFrame macro="">
      <xdr:nvGraphicFramePr>
        <xdr:cNvPr id="28" name="chtEvolucaoSaldo">
          <a:extLst>
            <a:ext uri="{FF2B5EF4-FFF2-40B4-BE49-F238E27FC236}">
              <a16:creationId xmlns:a16="http://schemas.microsoft.com/office/drawing/2014/main" id="{9A3EEF98-21F0-5C9E-6823-7215D229D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904875</xdr:colOff>
      <xdr:row>8</xdr:row>
      <xdr:rowOff>24493</xdr:rowOff>
    </xdr:from>
    <xdr:to>
      <xdr:col>12</xdr:col>
      <xdr:colOff>877661</xdr:colOff>
      <xdr:row>24</xdr:row>
      <xdr:rowOff>89807</xdr:rowOff>
    </xdr:to>
    <xdr:sp macro="" textlink="">
      <xdr:nvSpPr>
        <xdr:cNvPr id="2" name="SFE_CAT_PAINEL">
          <a:extLst>
            <a:ext uri="{FF2B5EF4-FFF2-40B4-BE49-F238E27FC236}">
              <a16:creationId xmlns:a16="http://schemas.microsoft.com/office/drawing/2014/main" id="{8BA1AED9-684B-2FD4-C2F5-CD0B8304C434}"/>
            </a:ext>
          </a:extLst>
        </xdr:cNvPr>
        <xdr:cNvSpPr/>
      </xdr:nvSpPr>
      <xdr:spPr>
        <a:xfrm>
          <a:off x="9286875" y="2609850"/>
          <a:ext cx="3619500" cy="4419600"/>
        </a:xfrm>
        <a:prstGeom prst="roundRect">
          <a:avLst/>
        </a:prstGeom>
        <a:solidFill>
          <a:srgbClr val="EDF7EF"/>
        </a:solidFill>
        <a:ln w="15875">
          <a:solidFill>
            <a:srgbClr val="E1E6EB"/>
          </a:solidFill>
        </a:ln>
        <a:effectLst>
          <a:outerShdw blurRad="63500" dist="37357" dir="2700000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183696</xdr:colOff>
      <xdr:row>8</xdr:row>
      <xdr:rowOff>151493</xdr:rowOff>
    </xdr:from>
    <xdr:to>
      <xdr:col>12</xdr:col>
      <xdr:colOff>687161</xdr:colOff>
      <xdr:row>9</xdr:row>
      <xdr:rowOff>169636</xdr:rowOff>
    </xdr:to>
    <xdr:sp macro="" textlink="">
      <xdr:nvSpPr>
        <xdr:cNvPr id="3" name="SFE_CAT_TITULO">
          <a:extLst>
            <a:ext uri="{FF2B5EF4-FFF2-40B4-BE49-F238E27FC236}">
              <a16:creationId xmlns:a16="http://schemas.microsoft.com/office/drawing/2014/main" id="{36D2293D-5701-D474-5061-E939A6A58899}"/>
            </a:ext>
          </a:extLst>
        </xdr:cNvPr>
        <xdr:cNvSpPr txBox="1"/>
      </xdr:nvSpPr>
      <xdr:spPr>
        <a:xfrm>
          <a:off x="9477375" y="2736850"/>
          <a:ext cx="323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t-BR" sz="1300" b="1">
              <a:solidFill>
                <a:srgbClr val="193755"/>
              </a:solidFill>
              <a:latin typeface="Aptos Display" panose="020B0004020202020204" pitchFamily="34" charset="0"/>
            </a:rPr>
            <a:t>SEU MOMENTO FINANCEIRO</a:t>
          </a:r>
        </a:p>
      </xdr:txBody>
    </xdr:sp>
    <xdr:clientData/>
  </xdr:twoCellAnchor>
  <xdr:twoCellAnchor>
    <xdr:from>
      <xdr:col>10</xdr:col>
      <xdr:colOff>281668</xdr:colOff>
      <xdr:row>10</xdr:row>
      <xdr:rowOff>178706</xdr:rowOff>
    </xdr:from>
    <xdr:to>
      <xdr:col>10</xdr:col>
      <xdr:colOff>764268</xdr:colOff>
      <xdr:row>13</xdr:row>
      <xdr:rowOff>15420</xdr:rowOff>
    </xdr:to>
    <xdr:sp macro="" textlink="">
      <xdr:nvSpPr>
        <xdr:cNvPr id="4" name="SFE_CAT_ORELHA1">
          <a:extLst>
            <a:ext uri="{FF2B5EF4-FFF2-40B4-BE49-F238E27FC236}">
              <a16:creationId xmlns:a16="http://schemas.microsoft.com/office/drawing/2014/main" id="{F0CD3FB6-B76D-A477-FAB8-6534206DE777}"/>
            </a:ext>
          </a:extLst>
        </xdr:cNvPr>
        <xdr:cNvSpPr/>
      </xdr:nvSpPr>
      <xdr:spPr>
        <a:xfrm rot="20100000">
          <a:off x="10487025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106589</xdr:colOff>
      <xdr:row>10</xdr:row>
      <xdr:rowOff>178706</xdr:rowOff>
    </xdr:from>
    <xdr:to>
      <xdr:col>11</xdr:col>
      <xdr:colOff>589189</xdr:colOff>
      <xdr:row>13</xdr:row>
      <xdr:rowOff>15420</xdr:rowOff>
    </xdr:to>
    <xdr:sp macro="" textlink="">
      <xdr:nvSpPr>
        <xdr:cNvPr id="5" name="SFE_CAT_ORELHA2">
          <a:extLst>
            <a:ext uri="{FF2B5EF4-FFF2-40B4-BE49-F238E27FC236}">
              <a16:creationId xmlns:a16="http://schemas.microsoft.com/office/drawing/2014/main" id="{748BFBEA-04B9-53C0-31AF-7681D6992493}"/>
            </a:ext>
          </a:extLst>
        </xdr:cNvPr>
        <xdr:cNvSpPr/>
      </xdr:nvSpPr>
      <xdr:spPr>
        <a:xfrm rot="1500000">
          <a:off x="11223625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161018</xdr:colOff>
      <xdr:row>11</xdr:row>
      <xdr:rowOff>92528</xdr:rowOff>
    </xdr:from>
    <xdr:to>
      <xdr:col>11</xdr:col>
      <xdr:colOff>709839</xdr:colOff>
      <xdr:row>17</xdr:row>
      <xdr:rowOff>56242</xdr:rowOff>
    </xdr:to>
    <xdr:sp macro="" textlink="">
      <xdr:nvSpPr>
        <xdr:cNvPr id="6" name="SFE_CAT_CABECA">
          <a:extLst>
            <a:ext uri="{FF2B5EF4-FFF2-40B4-BE49-F238E27FC236}">
              <a16:creationId xmlns:a16="http://schemas.microsoft.com/office/drawing/2014/main" id="{52C28530-3484-1381-44AC-25E992C30C3C}"/>
            </a:ext>
          </a:extLst>
        </xdr:cNvPr>
        <xdr:cNvSpPr/>
      </xdr:nvSpPr>
      <xdr:spPr>
        <a:xfrm>
          <a:off x="10366375" y="3467099"/>
          <a:ext cx="1460500" cy="1460500"/>
        </a:xfrm>
        <a:prstGeom prst="ellipse">
          <a:avLst/>
        </a:prstGeom>
        <a:solidFill>
          <a:srgbClr val="FFFFFF"/>
        </a:solidFill>
        <a:ln w="38100"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484868</xdr:colOff>
      <xdr:row>13</xdr:row>
      <xdr:rowOff>142420</xdr:rowOff>
    </xdr:from>
    <xdr:to>
      <xdr:col>10</xdr:col>
      <xdr:colOff>637268</xdr:colOff>
      <xdr:row>14</xdr:row>
      <xdr:rowOff>49892</xdr:rowOff>
    </xdr:to>
    <xdr:sp macro="" textlink="">
      <xdr:nvSpPr>
        <xdr:cNvPr id="7" name="SFE_CAT_OLHO1">
          <a:extLst>
            <a:ext uri="{FF2B5EF4-FFF2-40B4-BE49-F238E27FC236}">
              <a16:creationId xmlns:a16="http://schemas.microsoft.com/office/drawing/2014/main" id="{6D14F7DE-109D-E23C-E46F-AA188EE3921D}"/>
            </a:ext>
          </a:extLst>
        </xdr:cNvPr>
        <xdr:cNvSpPr/>
      </xdr:nvSpPr>
      <xdr:spPr>
        <a:xfrm>
          <a:off x="10690225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258989</xdr:colOff>
      <xdr:row>13</xdr:row>
      <xdr:rowOff>142420</xdr:rowOff>
    </xdr:from>
    <xdr:to>
      <xdr:col>11</xdr:col>
      <xdr:colOff>411389</xdr:colOff>
      <xdr:row>14</xdr:row>
      <xdr:rowOff>49892</xdr:rowOff>
    </xdr:to>
    <xdr:sp macro="" textlink="">
      <xdr:nvSpPr>
        <xdr:cNvPr id="8" name="SFE_CAT_OLHO2">
          <a:extLst>
            <a:ext uri="{FF2B5EF4-FFF2-40B4-BE49-F238E27FC236}">
              <a16:creationId xmlns:a16="http://schemas.microsoft.com/office/drawing/2014/main" id="{B2A80994-0F2C-9519-4F30-057B2F766DDF}"/>
            </a:ext>
          </a:extLst>
        </xdr:cNvPr>
        <xdr:cNvSpPr/>
      </xdr:nvSpPr>
      <xdr:spPr>
        <a:xfrm>
          <a:off x="11376025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802368</xdr:colOff>
      <xdr:row>14</xdr:row>
      <xdr:rowOff>151492</xdr:rowOff>
    </xdr:from>
    <xdr:to>
      <xdr:col>11</xdr:col>
      <xdr:colOff>68489</xdr:colOff>
      <xdr:row>15</xdr:row>
      <xdr:rowOff>33563</xdr:rowOff>
    </xdr:to>
    <xdr:sp macro="" textlink="">
      <xdr:nvSpPr>
        <xdr:cNvPr id="9" name="SFE_CAT_NARIZ">
          <a:extLst>
            <a:ext uri="{FF2B5EF4-FFF2-40B4-BE49-F238E27FC236}">
              <a16:creationId xmlns:a16="http://schemas.microsoft.com/office/drawing/2014/main" id="{89EE2A99-E886-2C96-F7A3-758B281E82AE}"/>
            </a:ext>
          </a:extLst>
        </xdr:cNvPr>
        <xdr:cNvSpPr/>
      </xdr:nvSpPr>
      <xdr:spPr>
        <a:xfrm rot="10800000">
          <a:off x="11007725" y="4260849"/>
          <a:ext cx="177800" cy="127000"/>
        </a:xfrm>
        <a:prstGeom prst="triangle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129268</xdr:colOff>
      <xdr:row>15</xdr:row>
      <xdr:rowOff>33563</xdr:rowOff>
    </xdr:from>
    <xdr:to>
      <xdr:col>11</xdr:col>
      <xdr:colOff>233589</xdr:colOff>
      <xdr:row>17</xdr:row>
      <xdr:rowOff>278492</xdr:rowOff>
    </xdr:to>
    <xdr:sp macro="" textlink="">
      <xdr:nvSpPr>
        <xdr:cNvPr id="10" name="SFE_CAT_BOCA">
          <a:extLst>
            <a:ext uri="{FF2B5EF4-FFF2-40B4-BE49-F238E27FC236}">
              <a16:creationId xmlns:a16="http://schemas.microsoft.com/office/drawing/2014/main" id="{00F0BDB0-23DB-0D0A-62A5-186AA806F464}"/>
            </a:ext>
          </a:extLst>
        </xdr:cNvPr>
        <xdr:cNvSpPr/>
      </xdr:nvSpPr>
      <xdr:spPr>
        <a:xfrm>
          <a:off x="10334625" y="4387849"/>
          <a:ext cx="1016000" cy="762000"/>
        </a:xfrm>
        <a:prstGeom prst="arc">
          <a:avLst/>
        </a:prstGeom>
        <a:ln w="25400">
          <a:solidFill>
            <a:srgbClr val="2E7D3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319768</xdr:colOff>
      <xdr:row>14</xdr:row>
      <xdr:rowOff>189592</xdr:rowOff>
    </xdr:from>
    <xdr:to>
      <xdr:col>10</xdr:col>
      <xdr:colOff>472168</xdr:colOff>
      <xdr:row>15</xdr:row>
      <xdr:rowOff>46263</xdr:rowOff>
    </xdr:to>
    <xdr:sp macro="" textlink="">
      <xdr:nvSpPr>
        <xdr:cNvPr id="11" name="SFE_CAT_BOCHECHA1">
          <a:extLst>
            <a:ext uri="{FF2B5EF4-FFF2-40B4-BE49-F238E27FC236}">
              <a16:creationId xmlns:a16="http://schemas.microsoft.com/office/drawing/2014/main" id="{A4C6EA5C-F438-ADE6-8F36-87FB43565BAE}"/>
            </a:ext>
          </a:extLst>
        </xdr:cNvPr>
        <xdr:cNvSpPr/>
      </xdr:nvSpPr>
      <xdr:spPr>
        <a:xfrm>
          <a:off x="10525125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398689</xdr:colOff>
      <xdr:row>14</xdr:row>
      <xdr:rowOff>189592</xdr:rowOff>
    </xdr:from>
    <xdr:to>
      <xdr:col>11</xdr:col>
      <xdr:colOff>551089</xdr:colOff>
      <xdr:row>15</xdr:row>
      <xdr:rowOff>46263</xdr:rowOff>
    </xdr:to>
    <xdr:sp macro="" textlink="">
      <xdr:nvSpPr>
        <xdr:cNvPr id="12" name="SFE_CAT_BOCHECHA2">
          <a:extLst>
            <a:ext uri="{FF2B5EF4-FFF2-40B4-BE49-F238E27FC236}">
              <a16:creationId xmlns:a16="http://schemas.microsoft.com/office/drawing/2014/main" id="{580B002B-4880-4610-00C8-686D700D72A3}"/>
            </a:ext>
          </a:extLst>
        </xdr:cNvPr>
        <xdr:cNvSpPr/>
      </xdr:nvSpPr>
      <xdr:spPr>
        <a:xfrm>
          <a:off x="11515725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247196</xdr:colOff>
      <xdr:row>19</xdr:row>
      <xdr:rowOff>289379</xdr:rowOff>
    </xdr:from>
    <xdr:to>
      <xdr:col>12</xdr:col>
      <xdr:colOff>623661</xdr:colOff>
      <xdr:row>23</xdr:row>
      <xdr:rowOff>71664</xdr:rowOff>
    </xdr:to>
    <xdr:sp macro="" textlink="">
      <xdr:nvSpPr>
        <xdr:cNvPr id="13" name="SFE_CAT_MENSAGEM">
          <a:extLst>
            <a:ext uri="{FF2B5EF4-FFF2-40B4-BE49-F238E27FC236}">
              <a16:creationId xmlns:a16="http://schemas.microsoft.com/office/drawing/2014/main" id="{6C469783-C1E9-1E85-70D3-827E0C023354}"/>
            </a:ext>
          </a:extLst>
        </xdr:cNvPr>
        <xdr:cNvSpPr txBox="1"/>
      </xdr:nvSpPr>
      <xdr:spPr>
        <a:xfrm>
          <a:off x="9540875" y="5759450"/>
          <a:ext cx="3111500" cy="952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Muito bem!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Seu saldo está positivo.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Continue cuidando das suas finanças.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C30EEE-B991-4105-895C-E35525E80944}" name="tblLancamentos" displayName="tblLancamentos" ref="A1:K6" totalsRowShown="0">
  <autoFilter ref="A1:K6" xr:uid="{3CC30EEE-B991-4105-895C-E35525E80944}"/>
  <tableColumns count="11">
    <tableColumn id="1" xr3:uid="{48B18107-362B-42CA-AB44-99790D84A36B}" name="ID"/>
    <tableColumn id="2" xr3:uid="{0DB3AB50-7C08-4F59-BBC4-0837FB2AEACC}" name="Data" dataDxfId="7"/>
    <tableColumn id="3" xr3:uid="{F0257D99-0BD2-4DFE-8158-3A36804BBF45}" name="Tipo"/>
    <tableColumn id="4" xr3:uid="{CBCEF938-EB8C-4719-B86F-D0F70DAE0C96}" name="Categoria"/>
    <tableColumn id="5" xr3:uid="{BFE007AA-EBC9-4BDA-AB34-E0DD4BF8E6E2}" name="Descrição"/>
    <tableColumn id="6" xr3:uid="{D8D55587-EE88-4B73-9D94-2E8F29D212CA}" name="Valor" dataDxfId="6"/>
    <tableColumn id="7" xr3:uid="{F038F566-9FD2-496A-BAF9-C8B8EF8ECEE9}" name="Conta"/>
    <tableColumn id="8" xr3:uid="{978CE4E7-3F5A-4EC4-ABBD-A52C877603EA}" name="Forma de Pagamento"/>
    <tableColumn id="9" xr3:uid="{FCB69ECF-F9FB-41E1-8790-AE905E5D25AD}" name="Status" dataDxfId="5"/>
    <tableColumn id="10" xr3:uid="{1A0A546C-6055-4BEE-983A-E1FC9CF997E5}" name="Observação"/>
    <tableColumn id="11" xr3:uid="{399D4E44-6EC0-4184-A444-0ECC84DD592D}" name="Data de Cadastro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C207E4-D551-4D43-99A9-BE430160A4AA}" name="tblContas" displayName="tblContas" ref="A1:F2" totalsRowShown="0">
  <autoFilter ref="A1:F2" xr:uid="{A4C207E4-D551-4D43-99A9-BE430160A4AA}"/>
  <tableColumns count="6">
    <tableColumn id="1" xr3:uid="{CC7DB012-55F0-4CF9-8C61-231B575A3C51}" name="ID"/>
    <tableColumn id="2" xr3:uid="{FB9B16CF-387B-4451-B556-96B3E4B387B4}" name="Nome da Conta"/>
    <tableColumn id="3" xr3:uid="{9A03830B-1279-4527-8AC3-7C49A7383ED1}" name="Tipo"/>
    <tableColumn id="4" xr3:uid="{CD1DAB93-A7DD-4C32-A46D-7B7D764FBA0C}" name="Instituição"/>
    <tableColumn id="5" xr3:uid="{72FA133D-35DD-40D1-A619-FAF7BD1F4E6E}" name="Saldo Inicial" dataDxfId="3"/>
    <tableColumn id="6" xr3:uid="{D47E7AF2-A2AD-40CA-B304-9B422CA0E0F1}" name="Ativ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5B51EE-79EA-4768-94CA-5577D105830E}" name="tblCategorias" displayName="tblCategorias" ref="A1:D13" totalsRowShown="0">
  <autoFilter ref="A1:D13" xr:uid="{765B51EE-79EA-4768-94CA-5577D105830E}"/>
  <tableColumns count="4">
    <tableColumn id="1" xr3:uid="{0946DF21-A3FD-45A1-AB60-F867998F1214}" name="ID"/>
    <tableColumn id="2" xr3:uid="{075E1847-AE01-4E97-BDF5-88A4F799EDA3}" name="Categoria"/>
    <tableColumn id="3" xr3:uid="{5560FBE1-477F-4E17-9D81-215A6DE65BF3}" name="Tipo"/>
    <tableColumn id="4" xr3:uid="{8E0737AB-FCA6-4805-A30C-7598DAFA11FD}" name="Ativ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4344A0-8AF6-4C3B-B4D8-060CAB294CDC}" name="tblMetas" displayName="tblMetas" ref="A1:G2" totalsRowShown="0">
  <autoFilter ref="A1:G2" xr:uid="{9C4344A0-8AF6-4C3B-B4D8-060CAB294CDC}"/>
  <tableColumns count="7">
    <tableColumn id="1" xr3:uid="{DC6C0CD4-D289-4E3F-8CC6-24AD80C1E7F7}" name="ID"/>
    <tableColumn id="2" xr3:uid="{A823AAE9-7545-474A-A6A5-6244BC283490}" name="Meta"/>
    <tableColumn id="3" xr3:uid="{AA84B5F4-5F3D-4F99-AA5D-A9C5C96B4368}" name="Categoria"/>
    <tableColumn id="4" xr3:uid="{79ECCED7-BE31-4EB6-B5D7-D138B4E7E4B8}" name="Valor Objetivo" dataDxfId="2"/>
    <tableColumn id="5" xr3:uid="{97501775-6834-47FF-B057-340BE168E8CB}" name="Valor Atual" dataDxfId="1"/>
    <tableColumn id="6" xr3:uid="{E48A0E24-AF55-4486-9DDA-9D2023DB4145}" name="Data Limite" dataDxfId="0"/>
    <tableColumn id="7" xr3:uid="{AB67DE8B-E1A2-4057-A087-88149497D24E}" name="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BFEA79-43A7-4953-BEAE-3C654CF178F7}" name="tblFormasPagamento" displayName="tblFormasPagamento" ref="A1:D9" totalsRowShown="0">
  <autoFilter ref="A1:D9" xr:uid="{5ABFEA79-43A7-4953-BEAE-3C654CF178F7}"/>
  <tableColumns count="4">
    <tableColumn id="1" xr3:uid="{D30D4C32-1272-4960-AB14-37FE7BC34ABC}" name="ID"/>
    <tableColumn id="2" xr3:uid="{A5CF6AD8-964B-47F1-AF76-C33675584A18}" name="Forma de Pagamento"/>
    <tableColumn id="3" xr3:uid="{1AD385CC-9B74-495A-9DD0-658B9E2CB84B}" name="Tipo"/>
    <tableColumn id="4" xr3:uid="{0972C43C-1724-43D4-BDA3-E648EB89E9CF}" name="Ativ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DEC39A-0AE9-433C-8386-7527E4738AE2}" name="tblConfiguracoes" displayName="tblConfiguracoes" ref="A1:B6" totalsRowShown="0">
  <autoFilter ref="A1:B6" xr:uid="{FBDEC39A-0AE9-433C-8386-7527E4738AE2}"/>
  <tableColumns count="2">
    <tableColumn id="1" xr3:uid="{724BD800-037A-45AE-8018-68AC7B6B52F6}" name="Configuração"/>
    <tableColumn id="2" xr3:uid="{E12D4492-F300-4545-88F7-386BC812731F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B3AB-408E-478F-802C-BD28D150EA5F}">
  <sheetPr codeName="Planilha1"/>
  <dimension ref="A1:AZ100"/>
  <sheetViews>
    <sheetView showGridLines="0" tabSelected="1" zoomScale="80" zoomScaleNormal="80" workbookViewId="0"/>
  </sheetViews>
  <sheetFormatPr defaultColWidth="0" defaultRowHeight="13.5" x14ac:dyDescent="0.25"/>
  <cols>
    <col min="1" max="3" width="5.7109375" style="21" customWidth="1"/>
    <col min="4" max="15" width="14.7109375" style="21" customWidth="1"/>
    <col min="16" max="16" width="13.140625" style="21" hidden="1" customWidth="1"/>
    <col min="17" max="52" width="0" style="21" hidden="1" customWidth="1"/>
    <col min="53" max="16384" width="9.140625" style="21" hidden="1"/>
  </cols>
  <sheetData>
    <row r="1" spans="1:28" ht="26.1" customHeight="1" x14ac:dyDescent="0.25">
      <c r="A1" s="45"/>
      <c r="B1" s="45"/>
      <c r="C1" s="45"/>
      <c r="D1" s="87" t="s">
        <v>118</v>
      </c>
      <c r="E1" s="87"/>
      <c r="F1" s="87"/>
      <c r="G1" s="87"/>
      <c r="H1" s="87"/>
      <c r="I1" s="87"/>
      <c r="J1" s="88" t="s">
        <v>133</v>
      </c>
      <c r="K1" s="88"/>
      <c r="L1" s="88"/>
      <c r="M1" s="89" t="s">
        <v>138</v>
      </c>
      <c r="N1" s="89"/>
      <c r="O1" s="89"/>
      <c r="Q1" s="21" t="s">
        <v>4</v>
      </c>
      <c r="R1" s="21" t="s">
        <v>6</v>
      </c>
      <c r="AA1" s="21" t="s">
        <v>4</v>
      </c>
      <c r="AB1" s="21" t="s">
        <v>6</v>
      </c>
    </row>
    <row r="2" spans="1:28" ht="26.1" customHeight="1" x14ac:dyDescent="0.25">
      <c r="A2" s="124" t="s">
        <v>119</v>
      </c>
      <c r="B2" s="124"/>
      <c r="C2" s="124"/>
      <c r="D2" s="87"/>
      <c r="E2" s="87"/>
      <c r="F2" s="87"/>
      <c r="G2" s="87"/>
      <c r="H2" s="87"/>
      <c r="I2" s="87"/>
      <c r="J2" s="88"/>
      <c r="K2" s="88"/>
      <c r="L2" s="88"/>
      <c r="M2" s="89"/>
      <c r="N2" s="89"/>
      <c r="O2" s="89"/>
      <c r="P2" s="22"/>
      <c r="Q2" s="22" t="s">
        <v>21</v>
      </c>
      <c r="R2" s="21">
        <v>300</v>
      </c>
      <c r="AA2" s="21" t="s">
        <v>21</v>
      </c>
      <c r="AB2" s="21">
        <v>4000</v>
      </c>
    </row>
    <row r="3" spans="1:28" ht="26.1" customHeight="1" thickBot="1" x14ac:dyDescent="0.3">
      <c r="A3" s="124"/>
      <c r="B3" s="124"/>
      <c r="C3" s="124"/>
      <c r="D3" s="87"/>
      <c r="E3" s="87"/>
      <c r="F3" s="87"/>
      <c r="G3" s="87"/>
      <c r="H3" s="87"/>
      <c r="I3" s="87"/>
      <c r="J3" s="88"/>
      <c r="K3" s="88"/>
      <c r="L3" s="88"/>
      <c r="M3" s="89"/>
      <c r="N3" s="89"/>
      <c r="O3" s="89"/>
      <c r="P3" s="22"/>
      <c r="Q3" s="22" t="s">
        <v>28</v>
      </c>
      <c r="R3" s="21">
        <v>200</v>
      </c>
      <c r="AA3" s="21" t="s">
        <v>28</v>
      </c>
      <c r="AB3" s="21">
        <v>200</v>
      </c>
    </row>
    <row r="4" spans="1:28" ht="18" customHeight="1" x14ac:dyDescent="0.25">
      <c r="A4" s="124"/>
      <c r="B4" s="124"/>
      <c r="C4" s="124"/>
      <c r="D4" s="150" t="s">
        <v>98</v>
      </c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22"/>
      <c r="Q4" s="22" t="s">
        <v>24</v>
      </c>
      <c r="R4" s="21">
        <v>250</v>
      </c>
      <c r="AA4" s="21" t="s">
        <v>24</v>
      </c>
      <c r="AB4" s="21">
        <v>250</v>
      </c>
    </row>
    <row r="5" spans="1:28" ht="24" customHeight="1" x14ac:dyDescent="0.25">
      <c r="A5" s="45"/>
      <c r="B5" s="45"/>
      <c r="C5" s="45"/>
      <c r="D5" s="134" t="s">
        <v>64</v>
      </c>
      <c r="E5" s="135"/>
      <c r="F5" s="135"/>
      <c r="G5" s="142" t="s">
        <v>65</v>
      </c>
      <c r="H5" s="143"/>
      <c r="I5" s="143"/>
      <c r="J5" s="126" t="s">
        <v>78</v>
      </c>
      <c r="K5" s="127"/>
      <c r="L5" s="127"/>
      <c r="M5" s="151" t="s">
        <v>66</v>
      </c>
      <c r="N5" s="152"/>
      <c r="O5" s="153"/>
      <c r="P5" s="22"/>
      <c r="Q5" s="22"/>
    </row>
    <row r="6" spans="1:28" ht="24" customHeight="1" x14ac:dyDescent="0.25">
      <c r="A6" s="125" t="s">
        <v>134</v>
      </c>
      <c r="B6" s="125"/>
      <c r="C6" s="125"/>
      <c r="D6" s="136">
        <f>SUMIFS(Lançamentos!$F:$F,Lançamentos!$C:$C,"Receita")</f>
        <v>7200</v>
      </c>
      <c r="E6" s="137"/>
      <c r="F6" s="137"/>
      <c r="G6" s="144">
        <f>SUMIFS(Lançamentos!$F:$F,Lançamentos!$C:$C,"Despesa")</f>
        <v>4450</v>
      </c>
      <c r="H6" s="145"/>
      <c r="I6" s="145"/>
      <c r="J6" s="128">
        <f>SUMIFS(Lançamentos!$F:$F,Lançamentos!$C:$C,"Receita")-SUMIFS(Lançamentos!$F:$F,Lançamentos!$C:$C,"Despesa")</f>
        <v>2750</v>
      </c>
      <c r="K6" s="129"/>
      <c r="L6" s="129"/>
      <c r="M6" s="154">
        <f>COUNTA(Lançamentos!$B$2:$B$1000)</f>
        <v>5</v>
      </c>
      <c r="N6" s="155"/>
      <c r="O6" s="156"/>
      <c r="P6" s="22"/>
      <c r="Q6" s="22"/>
    </row>
    <row r="7" spans="1:28" ht="24" customHeight="1" x14ac:dyDescent="0.25">
      <c r="A7" s="125"/>
      <c r="B7" s="125"/>
      <c r="C7" s="125"/>
      <c r="D7" s="138"/>
      <c r="E7" s="139"/>
      <c r="F7" s="139"/>
      <c r="G7" s="146"/>
      <c r="H7" s="147"/>
      <c r="I7" s="147"/>
      <c r="J7" s="130"/>
      <c r="K7" s="131"/>
      <c r="L7" s="131"/>
      <c r="M7" s="157"/>
      <c r="N7" s="158"/>
      <c r="O7" s="159"/>
      <c r="P7" s="22"/>
      <c r="Q7" s="22"/>
    </row>
    <row r="8" spans="1:28" ht="24" customHeight="1" x14ac:dyDescent="0.25">
      <c r="A8" s="45"/>
      <c r="B8" s="45"/>
      <c r="C8" s="45"/>
      <c r="D8" s="138"/>
      <c r="E8" s="139"/>
      <c r="F8" s="139"/>
      <c r="G8" s="146"/>
      <c r="H8" s="147"/>
      <c r="I8" s="147"/>
      <c r="J8" s="130"/>
      <c r="K8" s="131"/>
      <c r="L8" s="131"/>
      <c r="M8" s="157"/>
      <c r="N8" s="158"/>
      <c r="O8" s="159"/>
      <c r="P8" s="22"/>
      <c r="Q8" s="22"/>
    </row>
    <row r="9" spans="1:28" ht="24" customHeight="1" x14ac:dyDescent="0.25">
      <c r="A9" s="120" t="s">
        <v>71</v>
      </c>
      <c r="B9" s="120"/>
      <c r="C9" s="120"/>
      <c r="D9" s="140"/>
      <c r="E9" s="141"/>
      <c r="F9" s="141"/>
      <c r="G9" s="148"/>
      <c r="H9" s="149"/>
      <c r="I9" s="149"/>
      <c r="J9" s="132"/>
      <c r="K9" s="133"/>
      <c r="L9" s="133"/>
      <c r="M9" s="160"/>
      <c r="N9" s="161"/>
      <c r="O9" s="162"/>
      <c r="P9" s="22"/>
      <c r="Q9" s="22"/>
    </row>
    <row r="10" spans="1:28" ht="9.9499999999999993" customHeight="1" x14ac:dyDescent="0.25">
      <c r="A10" s="120"/>
      <c r="B10" s="120"/>
      <c r="C10" s="120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22"/>
      <c r="Q10" s="22"/>
    </row>
    <row r="11" spans="1:28" ht="21.95" customHeight="1" x14ac:dyDescent="0.25">
      <c r="A11" s="45"/>
      <c r="B11" s="45"/>
      <c r="C11" s="45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22"/>
      <c r="Q11" s="22"/>
    </row>
    <row r="12" spans="1:28" ht="21.95" customHeight="1" x14ac:dyDescent="0.25">
      <c r="A12" s="120" t="s">
        <v>68</v>
      </c>
      <c r="B12" s="120"/>
      <c r="C12" s="120"/>
      <c r="D12" s="34" t="s">
        <v>99</v>
      </c>
      <c r="E12" s="35"/>
      <c r="F12" s="35"/>
      <c r="G12" s="35"/>
      <c r="H12" s="35"/>
      <c r="I12" s="36"/>
      <c r="J12" s="43" t="s">
        <v>100</v>
      </c>
      <c r="K12" s="43"/>
      <c r="L12" s="43"/>
      <c r="M12" s="43"/>
      <c r="N12" s="43"/>
      <c r="O12" s="43"/>
      <c r="P12" s="22"/>
      <c r="Q12" s="22"/>
    </row>
    <row r="13" spans="1:28" ht="21.95" customHeight="1" x14ac:dyDescent="0.25">
      <c r="A13" s="120"/>
      <c r="B13" s="120"/>
      <c r="C13" s="120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22"/>
      <c r="Q13" s="22"/>
    </row>
    <row r="14" spans="1:28" ht="21.95" customHeight="1" x14ac:dyDescent="0.25">
      <c r="A14" s="45"/>
      <c r="B14" s="45"/>
      <c r="C14" s="45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22"/>
      <c r="Q14" s="22"/>
    </row>
    <row r="15" spans="1:28" ht="21.95" customHeight="1" x14ac:dyDescent="0.25">
      <c r="A15" s="120" t="s">
        <v>69</v>
      </c>
      <c r="B15" s="120"/>
      <c r="C15" s="120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22"/>
      <c r="Q15" s="22"/>
    </row>
    <row r="16" spans="1:28" ht="21.95" customHeight="1" x14ac:dyDescent="0.25">
      <c r="A16" s="120"/>
      <c r="B16" s="120"/>
      <c r="C16" s="120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22"/>
      <c r="Q16" s="22"/>
    </row>
    <row r="17" spans="1:17" ht="21.95" customHeight="1" x14ac:dyDescent="0.25">
      <c r="A17" s="45"/>
      <c r="B17" s="45"/>
      <c r="C17" s="45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22"/>
      <c r="Q17" s="22"/>
    </row>
    <row r="18" spans="1:17" ht="21.95" customHeight="1" x14ac:dyDescent="0.25">
      <c r="A18" s="120" t="s">
        <v>135</v>
      </c>
      <c r="B18" s="120"/>
      <c r="C18" s="120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22"/>
      <c r="Q18" s="22"/>
    </row>
    <row r="19" spans="1:17" ht="21.95" customHeight="1" x14ac:dyDescent="0.25">
      <c r="A19" s="120"/>
      <c r="B19" s="120"/>
      <c r="C19" s="120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22"/>
      <c r="Q19" s="22"/>
    </row>
    <row r="20" spans="1:17" ht="21.95" customHeight="1" x14ac:dyDescent="0.25">
      <c r="A20" s="45"/>
      <c r="B20" s="45"/>
      <c r="C20" s="45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22"/>
      <c r="Q20" s="22"/>
    </row>
    <row r="21" spans="1:17" ht="21.95" customHeight="1" x14ac:dyDescent="0.25">
      <c r="A21" s="120" t="s">
        <v>136</v>
      </c>
      <c r="B21" s="120"/>
      <c r="C21" s="120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22"/>
      <c r="Q21" s="22"/>
    </row>
    <row r="22" spans="1:17" ht="21.95" customHeight="1" x14ac:dyDescent="0.25">
      <c r="A22" s="120"/>
      <c r="B22" s="120"/>
      <c r="C22" s="120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22"/>
      <c r="Q22" s="22"/>
    </row>
    <row r="23" spans="1:17" ht="21.95" customHeight="1" x14ac:dyDescent="0.25">
      <c r="A23" s="45"/>
      <c r="B23" s="45"/>
      <c r="C23" s="45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22"/>
      <c r="Q23" s="22"/>
    </row>
    <row r="24" spans="1:17" ht="21.95" customHeight="1" x14ac:dyDescent="0.25">
      <c r="A24" s="120" t="s">
        <v>137</v>
      </c>
      <c r="B24" s="120"/>
      <c r="C24" s="120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22"/>
      <c r="Q24" s="22"/>
    </row>
    <row r="25" spans="1:17" ht="21.95" customHeight="1" x14ac:dyDescent="0.25">
      <c r="A25" s="120"/>
      <c r="B25" s="120"/>
      <c r="C25" s="120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22"/>
      <c r="Q25" s="22"/>
    </row>
    <row r="26" spans="1:17" ht="24" customHeight="1" x14ac:dyDescent="0.25">
      <c r="A26" s="45"/>
      <c r="B26" s="45"/>
      <c r="C26" s="45"/>
      <c r="D26" s="117" t="s">
        <v>74</v>
      </c>
      <c r="E26" s="117"/>
      <c r="F26" s="117"/>
      <c r="G26" s="117"/>
      <c r="H26" s="117"/>
      <c r="I26" s="117"/>
      <c r="J26" s="121" t="s">
        <v>107</v>
      </c>
      <c r="K26" s="121"/>
      <c r="L26" s="121"/>
      <c r="M26" s="121"/>
      <c r="N26" s="121"/>
      <c r="O26" s="121"/>
      <c r="P26" s="22"/>
      <c r="Q26" s="22"/>
    </row>
    <row r="27" spans="1:17" ht="21.95" customHeight="1" x14ac:dyDescent="0.25">
      <c r="A27" s="45"/>
      <c r="B27" s="45"/>
      <c r="C27" s="45"/>
      <c r="D27" s="37"/>
      <c r="E27" s="37"/>
      <c r="F27" s="37"/>
      <c r="G27" s="37"/>
      <c r="H27" s="38"/>
      <c r="I27" s="50"/>
      <c r="J27" s="118" t="s">
        <v>105</v>
      </c>
      <c r="K27" s="118"/>
      <c r="L27" s="118"/>
      <c r="M27" s="118"/>
      <c r="N27" s="118"/>
      <c r="O27" s="118"/>
      <c r="P27" s="22"/>
      <c r="Q27" s="22"/>
    </row>
    <row r="28" spans="1:17" ht="21.95" customHeight="1" x14ac:dyDescent="0.25">
      <c r="A28" s="45"/>
      <c r="B28" s="45"/>
      <c r="C28" s="45"/>
      <c r="D28" s="39"/>
      <c r="E28" s="39"/>
      <c r="F28" s="39"/>
      <c r="G28" s="39"/>
      <c r="H28" s="40"/>
      <c r="I28" s="41" t="s">
        <v>105</v>
      </c>
      <c r="J28" s="98" t="s">
        <v>4</v>
      </c>
      <c r="K28" s="98"/>
      <c r="L28" s="98"/>
      <c r="M28" s="119" t="s">
        <v>82</v>
      </c>
      <c r="N28" s="119"/>
      <c r="O28" s="119"/>
      <c r="P28" s="22"/>
      <c r="Q28" s="22"/>
    </row>
    <row r="29" spans="1:17" ht="21.95" customHeight="1" x14ac:dyDescent="0.25">
      <c r="A29" s="45"/>
      <c r="B29" s="45"/>
      <c r="C29" s="45"/>
      <c r="D29" s="39"/>
      <c r="E29" s="39"/>
      <c r="F29" s="39"/>
      <c r="G29" s="39"/>
      <c r="H29" s="40"/>
      <c r="I29" s="41" t="s">
        <v>4</v>
      </c>
      <c r="J29" s="98" t="s">
        <v>108</v>
      </c>
      <c r="K29" s="98"/>
      <c r="L29" s="98"/>
      <c r="M29" s="116">
        <v>10000</v>
      </c>
      <c r="N29" s="116"/>
      <c r="O29" s="116"/>
      <c r="P29" s="22"/>
      <c r="Q29" s="22"/>
    </row>
    <row r="30" spans="1:17" ht="21.95" customHeight="1" x14ac:dyDescent="0.25">
      <c r="A30" s="45"/>
      <c r="B30" s="45"/>
      <c r="C30" s="45"/>
      <c r="D30" s="39"/>
      <c r="E30" s="39"/>
      <c r="F30" s="39"/>
      <c r="G30" s="39"/>
      <c r="H30" s="40"/>
      <c r="I30" s="41" t="s">
        <v>108</v>
      </c>
      <c r="J30" s="98" t="s">
        <v>109</v>
      </c>
      <c r="K30" s="98"/>
      <c r="L30" s="98"/>
      <c r="M30" s="99">
        <v>2500</v>
      </c>
      <c r="N30" s="99"/>
      <c r="O30" s="99"/>
      <c r="P30" s="22"/>
      <c r="Q30" s="22"/>
    </row>
    <row r="31" spans="1:17" ht="21.95" customHeight="1" x14ac:dyDescent="0.25">
      <c r="A31" s="45"/>
      <c r="B31" s="45"/>
      <c r="C31" s="45"/>
      <c r="D31" s="39"/>
      <c r="E31" s="39"/>
      <c r="F31" s="39"/>
      <c r="G31" s="39"/>
      <c r="H31" s="40"/>
      <c r="I31" s="41" t="s">
        <v>109</v>
      </c>
      <c r="J31" s="98" t="s">
        <v>110</v>
      </c>
      <c r="K31" s="98"/>
      <c r="L31" s="98"/>
      <c r="M31" s="122">
        <v>0.25</v>
      </c>
      <c r="N31" s="122"/>
      <c r="O31" s="122"/>
      <c r="P31" s="22"/>
      <c r="Q31" s="22"/>
    </row>
    <row r="32" spans="1:17" ht="8.1" customHeight="1" x14ac:dyDescent="0.25">
      <c r="A32" s="45"/>
      <c r="B32" s="45"/>
      <c r="C32" s="45"/>
      <c r="D32" s="39"/>
      <c r="E32" s="39"/>
      <c r="F32" s="39"/>
      <c r="G32" s="39"/>
      <c r="H32" s="40"/>
      <c r="I32" s="41" t="s">
        <v>110</v>
      </c>
      <c r="J32" s="51"/>
      <c r="K32" s="51"/>
      <c r="L32" s="51"/>
      <c r="M32" s="52"/>
      <c r="N32" s="52"/>
      <c r="O32" s="52"/>
      <c r="P32" s="22"/>
      <c r="Q32" s="22"/>
    </row>
    <row r="33" spans="1:17" ht="8.1" customHeight="1" x14ac:dyDescent="0.25">
      <c r="A33" s="45"/>
      <c r="B33" s="45"/>
      <c r="C33" s="45"/>
      <c r="D33" s="39"/>
      <c r="E33" s="39"/>
      <c r="F33" s="39"/>
      <c r="G33" s="39"/>
      <c r="H33" s="40"/>
      <c r="I33" s="41" t="s">
        <v>112</v>
      </c>
      <c r="J33" s="51"/>
      <c r="K33" s="51"/>
      <c r="L33" s="51"/>
      <c r="M33" s="51"/>
      <c r="N33" s="51"/>
      <c r="O33" s="51"/>
      <c r="P33" s="22"/>
      <c r="Q33" s="22"/>
    </row>
    <row r="34" spans="1:17" ht="21.95" customHeight="1" x14ac:dyDescent="0.25">
      <c r="A34" s="45"/>
      <c r="B34" s="45"/>
      <c r="C34" s="45"/>
      <c r="D34" s="39"/>
      <c r="E34" s="39"/>
      <c r="F34" s="39"/>
      <c r="G34" s="39"/>
      <c r="H34" s="40"/>
      <c r="I34" s="41" t="s">
        <v>111</v>
      </c>
      <c r="J34" s="98" t="s">
        <v>111</v>
      </c>
      <c r="K34" s="98"/>
      <c r="L34" s="98"/>
      <c r="M34" s="123" t="s">
        <v>140</v>
      </c>
      <c r="N34" s="123"/>
      <c r="O34" s="123"/>
      <c r="P34" s="22"/>
      <c r="Q34" s="22"/>
    </row>
    <row r="35" spans="1:17" ht="21.95" customHeight="1" x14ac:dyDescent="0.25">
      <c r="A35" s="45"/>
      <c r="B35" s="45"/>
      <c r="C35" s="45"/>
      <c r="D35" s="39"/>
      <c r="E35" s="39"/>
      <c r="F35" s="39"/>
      <c r="G35" s="39"/>
      <c r="H35" s="40"/>
      <c r="I35" s="41" t="s">
        <v>9</v>
      </c>
      <c r="J35" s="100" t="s">
        <v>106</v>
      </c>
      <c r="K35" s="100"/>
      <c r="L35" s="100"/>
      <c r="M35" s="100"/>
      <c r="N35" s="100"/>
      <c r="O35" s="100"/>
      <c r="P35" s="22"/>
      <c r="Q35" s="22"/>
    </row>
    <row r="36" spans="1:17" ht="21.95" customHeight="1" x14ac:dyDescent="0.25">
      <c r="A36" s="45"/>
      <c r="B36" s="45"/>
      <c r="C36" s="45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22"/>
      <c r="Q36" s="22"/>
    </row>
    <row r="37" spans="1:17" ht="21.95" customHeight="1" x14ac:dyDescent="0.25">
      <c r="A37" s="45"/>
      <c r="B37" s="45"/>
      <c r="C37" s="45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22"/>
      <c r="Q37" s="22"/>
    </row>
    <row r="38" spans="1:17" ht="24.95" customHeight="1" thickBot="1" x14ac:dyDescent="0.3">
      <c r="A38" s="45"/>
      <c r="B38" s="45"/>
      <c r="C38" s="45"/>
      <c r="D38" s="102" t="s">
        <v>79</v>
      </c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4"/>
      <c r="P38" s="22"/>
      <c r="Q38" s="22"/>
    </row>
    <row r="39" spans="1:17" ht="8.1" customHeight="1" x14ac:dyDescent="0.25">
      <c r="A39" s="45"/>
      <c r="B39" s="45"/>
      <c r="C39" s="45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22"/>
      <c r="Q39" s="22"/>
    </row>
    <row r="40" spans="1:17" ht="21" customHeight="1" x14ac:dyDescent="0.25">
      <c r="A40" s="45"/>
      <c r="B40" s="45"/>
      <c r="C40" s="45"/>
      <c r="D40" s="105" t="s">
        <v>120</v>
      </c>
      <c r="E40" s="106"/>
      <c r="F40" s="107"/>
      <c r="G40" s="105" t="s">
        <v>121</v>
      </c>
      <c r="H40" s="106"/>
      <c r="I40" s="107"/>
      <c r="J40" s="105" t="s">
        <v>113</v>
      </c>
      <c r="K40" s="106"/>
      <c r="L40" s="106"/>
      <c r="M40" s="106"/>
      <c r="N40" s="106"/>
      <c r="O40" s="107"/>
      <c r="P40" s="22"/>
      <c r="Q40" s="22"/>
    </row>
    <row r="41" spans="1:17" ht="21" customHeight="1" x14ac:dyDescent="0.25">
      <c r="A41" s="45"/>
      <c r="B41" s="45"/>
      <c r="C41" s="45"/>
      <c r="D41" s="108">
        <v>65</v>
      </c>
      <c r="E41" s="108"/>
      <c r="F41" s="108"/>
      <c r="G41" s="109" t="s">
        <v>123</v>
      </c>
      <c r="H41" s="109"/>
      <c r="I41" s="109"/>
      <c r="J41" s="110">
        <v>0.61805555555555558</v>
      </c>
      <c r="K41" s="110"/>
      <c r="L41" s="110"/>
      <c r="M41" s="110"/>
      <c r="N41" s="110"/>
      <c r="O41" s="110"/>
      <c r="P41" s="22"/>
      <c r="Q41" s="22"/>
    </row>
    <row r="42" spans="1:17" ht="21" customHeight="1" x14ac:dyDescent="0.25">
      <c r="A42" s="45"/>
      <c r="B42" s="45"/>
      <c r="C42" s="45"/>
      <c r="D42" s="108"/>
      <c r="E42" s="108"/>
      <c r="F42" s="108"/>
      <c r="G42" s="109"/>
      <c r="H42" s="109"/>
      <c r="I42" s="109"/>
      <c r="J42" s="110"/>
      <c r="K42" s="110"/>
      <c r="L42" s="110"/>
      <c r="M42" s="110"/>
      <c r="N42" s="110"/>
      <c r="O42" s="110"/>
      <c r="P42" s="22"/>
      <c r="Q42" s="22"/>
    </row>
    <row r="43" spans="1:17" ht="21" customHeight="1" x14ac:dyDescent="0.25">
      <c r="A43" s="45"/>
      <c r="B43" s="45"/>
      <c r="C43" s="45"/>
      <c r="D43" s="108"/>
      <c r="E43" s="108"/>
      <c r="F43" s="108"/>
      <c r="G43" s="109"/>
      <c r="H43" s="109"/>
      <c r="I43" s="109"/>
      <c r="J43" s="110"/>
      <c r="K43" s="110"/>
      <c r="L43" s="110"/>
      <c r="M43" s="110"/>
      <c r="N43" s="110"/>
      <c r="O43" s="110"/>
      <c r="P43" s="22"/>
      <c r="Q43" s="22"/>
    </row>
    <row r="44" spans="1:17" ht="21" customHeight="1" x14ac:dyDescent="0.25">
      <c r="A44" s="45"/>
      <c r="B44" s="45"/>
      <c r="C44" s="45"/>
      <c r="D44" s="105" t="s">
        <v>114</v>
      </c>
      <c r="E44" s="106"/>
      <c r="F44" s="107"/>
      <c r="G44" s="32"/>
      <c r="H44" s="32"/>
      <c r="I44" s="32"/>
      <c r="J44" s="112" t="s">
        <v>124</v>
      </c>
      <c r="K44" s="112"/>
      <c r="L44" s="112"/>
      <c r="M44" s="112"/>
      <c r="N44" s="112"/>
      <c r="O44" s="112"/>
      <c r="P44" s="22"/>
      <c r="Q44" s="22"/>
    </row>
    <row r="45" spans="1:17" ht="21" customHeight="1" x14ac:dyDescent="0.25">
      <c r="A45" s="45"/>
      <c r="B45" s="45"/>
      <c r="C45" s="45"/>
      <c r="D45" s="111">
        <v>2750</v>
      </c>
      <c r="E45" s="111"/>
      <c r="F45" s="111"/>
      <c r="G45" s="32"/>
      <c r="H45" s="32"/>
      <c r="I45" s="32"/>
      <c r="J45" s="112"/>
      <c r="K45" s="112"/>
      <c r="L45" s="112"/>
      <c r="M45" s="112"/>
      <c r="N45" s="112"/>
      <c r="O45" s="112"/>
      <c r="P45" s="22"/>
      <c r="Q45" s="22"/>
    </row>
    <row r="46" spans="1:17" ht="21" customHeight="1" x14ac:dyDescent="0.25">
      <c r="A46" s="45"/>
      <c r="B46" s="45"/>
      <c r="C46" s="45"/>
      <c r="D46" s="111"/>
      <c r="E46" s="111"/>
      <c r="F46" s="111"/>
      <c r="G46" s="32"/>
      <c r="H46" s="32"/>
      <c r="I46" s="32"/>
      <c r="J46" s="112"/>
      <c r="K46" s="112"/>
      <c r="L46" s="112"/>
      <c r="M46" s="112"/>
      <c r="N46" s="112"/>
      <c r="O46" s="112"/>
      <c r="P46" s="22"/>
      <c r="Q46" s="22"/>
    </row>
    <row r="47" spans="1:17" ht="18" customHeight="1" x14ac:dyDescent="0.25">
      <c r="A47" s="45"/>
      <c r="B47" s="45"/>
      <c r="C47" s="45"/>
      <c r="D47" s="113" t="s">
        <v>122</v>
      </c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5"/>
      <c r="P47" s="22"/>
      <c r="Q47" s="22"/>
    </row>
    <row r="48" spans="1:17" ht="21.95" customHeight="1" x14ac:dyDescent="0.25">
      <c r="A48" s="45"/>
      <c r="B48" s="45"/>
      <c r="C48" s="45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22"/>
      <c r="Q48" s="22"/>
    </row>
    <row r="49" spans="1:17" ht="21.95" customHeight="1" x14ac:dyDescent="0.25">
      <c r="A49" s="45"/>
      <c r="B49" s="45"/>
      <c r="C49" s="45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22"/>
      <c r="Q49" s="22"/>
    </row>
    <row r="50" spans="1:17" ht="21.95" customHeight="1" x14ac:dyDescent="0.25">
      <c r="A50" s="45"/>
      <c r="B50" s="45"/>
      <c r="C50" s="45"/>
      <c r="D50" s="55" t="s">
        <v>115</v>
      </c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6"/>
      <c r="P50" s="22" t="s">
        <v>76</v>
      </c>
      <c r="Q50" s="31" t="s">
        <v>70</v>
      </c>
    </row>
    <row r="51" spans="1:17" ht="21.95" customHeight="1" x14ac:dyDescent="0.25">
      <c r="A51" s="45"/>
      <c r="B51" s="45"/>
      <c r="C51" s="45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2"/>
      <c r="P51" s="54">
        <v>46235</v>
      </c>
      <c r="Q51" s="33">
        <v>3600</v>
      </c>
    </row>
    <row r="52" spans="1:17" ht="21.95" customHeight="1" x14ac:dyDescent="0.25">
      <c r="A52" s="45"/>
      <c r="B52" s="45"/>
      <c r="C52" s="45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2"/>
      <c r="P52" s="54">
        <v>46266</v>
      </c>
      <c r="Q52" s="33">
        <v>2750</v>
      </c>
    </row>
    <row r="53" spans="1:17" ht="21.95" customHeight="1" x14ac:dyDescent="0.25">
      <c r="A53" s="45"/>
      <c r="B53" s="45"/>
      <c r="C53" s="45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2"/>
      <c r="P53" s="54"/>
      <c r="Q53" s="33"/>
    </row>
    <row r="54" spans="1:17" ht="21.95" customHeight="1" x14ac:dyDescent="0.25">
      <c r="A54" s="45"/>
      <c r="B54" s="45"/>
      <c r="C54" s="45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2"/>
      <c r="P54" s="54"/>
      <c r="Q54" s="33"/>
    </row>
    <row r="55" spans="1:17" ht="21.95" customHeight="1" x14ac:dyDescent="0.25">
      <c r="A55" s="45"/>
      <c r="B55" s="45"/>
      <c r="C55" s="45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2"/>
      <c r="P55" s="54"/>
      <c r="Q55" s="33"/>
    </row>
    <row r="56" spans="1:17" ht="21.95" customHeight="1" x14ac:dyDescent="0.25">
      <c r="A56" s="45"/>
      <c r="B56" s="45"/>
      <c r="C56" s="45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2"/>
      <c r="P56" s="54"/>
      <c r="Q56" s="33"/>
    </row>
    <row r="57" spans="1:17" ht="21.95" customHeight="1" x14ac:dyDescent="0.25">
      <c r="A57" s="45"/>
      <c r="B57" s="45"/>
      <c r="C57" s="45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2"/>
      <c r="P57" s="54"/>
      <c r="Q57" s="33"/>
    </row>
    <row r="58" spans="1:17" ht="21.95" customHeight="1" x14ac:dyDescent="0.25">
      <c r="A58" s="45"/>
      <c r="B58" s="45"/>
      <c r="C58" s="45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2"/>
      <c r="P58" s="54"/>
      <c r="Q58" s="33"/>
    </row>
    <row r="59" spans="1:17" ht="21.95" customHeight="1" x14ac:dyDescent="0.25">
      <c r="A59" s="45"/>
      <c r="B59" s="45"/>
      <c r="C59" s="45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2"/>
      <c r="P59" s="54"/>
      <c r="Q59" s="33"/>
    </row>
    <row r="60" spans="1:17" ht="21.95" customHeight="1" x14ac:dyDescent="0.25">
      <c r="A60" s="45"/>
      <c r="B60" s="45"/>
      <c r="C60" s="45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2"/>
      <c r="P60" s="54"/>
      <c r="Q60" s="33"/>
    </row>
    <row r="61" spans="1:17" ht="21.95" customHeight="1" x14ac:dyDescent="0.25">
      <c r="A61" s="45"/>
      <c r="B61" s="45"/>
      <c r="C61" s="45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2"/>
      <c r="P61" s="54"/>
      <c r="Q61" s="33"/>
    </row>
    <row r="62" spans="1:17" ht="21.95" customHeight="1" x14ac:dyDescent="0.25">
      <c r="A62" s="45"/>
      <c r="B62" s="45"/>
      <c r="C62" s="45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2"/>
      <c r="P62" s="54"/>
      <c r="Q62" s="33"/>
    </row>
    <row r="63" spans="1:17" ht="21.95" customHeight="1" x14ac:dyDescent="0.25">
      <c r="A63" s="45"/>
      <c r="B63" s="45"/>
      <c r="C63" s="45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2"/>
      <c r="P63" s="54"/>
      <c r="Q63" s="33"/>
    </row>
    <row r="64" spans="1:17" ht="21.95" customHeight="1" x14ac:dyDescent="0.25">
      <c r="A64" s="45"/>
      <c r="B64" s="45"/>
      <c r="C64" s="45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2"/>
      <c r="P64" s="54"/>
      <c r="Q64" s="33"/>
    </row>
    <row r="65" spans="1:17" ht="21.95" customHeight="1" x14ac:dyDescent="0.25">
      <c r="A65" s="45"/>
      <c r="B65" s="45"/>
      <c r="C65" s="45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54"/>
      <c r="Q65" s="33"/>
    </row>
    <row r="66" spans="1:17" ht="21.95" customHeight="1" x14ac:dyDescent="0.25">
      <c r="A66" s="45"/>
      <c r="B66" s="45"/>
      <c r="C66" s="45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54"/>
      <c r="Q66" s="33"/>
    </row>
    <row r="67" spans="1:17" ht="21.95" customHeight="1" x14ac:dyDescent="0.25">
      <c r="A67" s="45"/>
      <c r="B67" s="45"/>
      <c r="C67" s="45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54"/>
      <c r="Q67" s="33"/>
    </row>
    <row r="68" spans="1:17" ht="21.95" customHeight="1" x14ac:dyDescent="0.25">
      <c r="A68" s="45"/>
      <c r="B68" s="45"/>
      <c r="C68" s="45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54"/>
      <c r="Q68" s="33"/>
    </row>
    <row r="69" spans="1:17" ht="21.95" customHeight="1" x14ac:dyDescent="0.25">
      <c r="A69" s="45"/>
      <c r="B69" s="45"/>
      <c r="C69" s="45"/>
      <c r="D69" s="101" t="s">
        <v>125</v>
      </c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54"/>
      <c r="Q69" s="33"/>
    </row>
    <row r="70" spans="1:17" ht="20.100000000000001" customHeight="1" x14ac:dyDescent="0.25">
      <c r="A70" s="45"/>
      <c r="B70" s="45"/>
      <c r="C70" s="45"/>
      <c r="D70" s="96" t="s">
        <v>113</v>
      </c>
      <c r="E70" s="96"/>
      <c r="F70" s="96"/>
      <c r="G70" s="96"/>
      <c r="H70" s="96" t="s">
        <v>114</v>
      </c>
      <c r="I70" s="96"/>
      <c r="J70" s="96"/>
      <c r="K70" s="96"/>
      <c r="L70" s="96" t="s">
        <v>117</v>
      </c>
      <c r="M70" s="96"/>
      <c r="N70" s="96"/>
      <c r="O70" s="96"/>
      <c r="P70" s="54"/>
      <c r="Q70" s="33"/>
    </row>
    <row r="71" spans="1:17" ht="20.100000000000001" customHeight="1" x14ac:dyDescent="0.25">
      <c r="A71" s="45"/>
      <c r="B71" s="45"/>
      <c r="C71" s="45"/>
      <c r="D71" s="85" t="str">
        <f>IF(Dashboard!B12&lt;=0,"Sem receita registrada",TEXT(Dashboard!B13/Dashboard!B12,"0%")&amp;" das receitas comprometidas com despesas")</f>
        <v>62% das receitas comprometidas com despesas</v>
      </c>
      <c r="E71" s="85"/>
      <c r="F71" s="85"/>
      <c r="G71" s="85"/>
      <c r="H71" s="97" t="str">
        <f>TEXT(Dashboard!B14,"R$ #.##0,00")</f>
        <v>R$ 2.750,00</v>
      </c>
      <c r="I71" s="97"/>
      <c r="J71" s="97"/>
      <c r="K71" s="97"/>
      <c r="L71" s="85" t="str">
        <f>IF(Dashboard!B14&lt;0,"ATENÇÃO: saldo negativo",IF(Dashboard!B12&lt;=0,"SEM RECEITAS REGISTRADAS",IF(Dashboard!B13/Dashboard!B12&gt;=0.9,"ALTO NÍVEL DE DESPESAS",IF(Dashboard!B13/Dashboard!B12&gt;=0.75,"DESPESAS ELEVADAS","SITUAÇÃO CONTROLADA"))))</f>
        <v>SITUAÇÃO CONTROLADA</v>
      </c>
      <c r="M71" s="85"/>
      <c r="N71" s="85"/>
      <c r="O71" s="85"/>
      <c r="P71" s="54"/>
      <c r="Q71" s="33"/>
    </row>
    <row r="72" spans="1:17" ht="20.100000000000001" customHeight="1" x14ac:dyDescent="0.25">
      <c r="A72" s="61" t="s">
        <v>139</v>
      </c>
      <c r="B72" s="61"/>
      <c r="C72" s="62"/>
      <c r="D72" s="85"/>
      <c r="E72" s="85"/>
      <c r="F72" s="85"/>
      <c r="G72" s="85"/>
      <c r="H72" s="97"/>
      <c r="I72" s="97"/>
      <c r="J72" s="97"/>
      <c r="K72" s="97"/>
      <c r="L72" s="85"/>
      <c r="M72" s="85"/>
      <c r="N72" s="85"/>
      <c r="O72" s="85"/>
      <c r="P72" s="54"/>
      <c r="Q72" s="33"/>
    </row>
    <row r="73" spans="1:17" ht="20.100000000000001" customHeight="1" x14ac:dyDescent="0.25">
      <c r="A73" s="61"/>
      <c r="B73" s="61"/>
      <c r="C73" s="62"/>
      <c r="D73" s="85"/>
      <c r="E73" s="85"/>
      <c r="F73" s="85"/>
      <c r="G73" s="85"/>
      <c r="H73" s="97"/>
      <c r="I73" s="97"/>
      <c r="J73" s="97"/>
      <c r="K73" s="97"/>
      <c r="L73" s="85"/>
      <c r="M73" s="85"/>
      <c r="N73" s="85"/>
      <c r="O73" s="85"/>
      <c r="P73" s="54"/>
      <c r="Q73" s="33"/>
    </row>
    <row r="74" spans="1:17" ht="20.100000000000001" customHeight="1" x14ac:dyDescent="0.25">
      <c r="A74" s="61"/>
      <c r="B74" s="61"/>
      <c r="C74" s="62"/>
      <c r="D74" s="84" t="s">
        <v>126</v>
      </c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54"/>
      <c r="Q74" s="33"/>
    </row>
    <row r="75" spans="1:17" ht="20.100000000000001" customHeight="1" x14ac:dyDescent="0.25">
      <c r="A75" s="61"/>
      <c r="B75" s="61"/>
      <c r="C75" s="62"/>
      <c r="D75" s="85" t="str">
        <f>IFERROR("Meta: "&amp;INDEX(Metas!$B$2:$B$100,MATCH(1,Metas!$A$2:$A$100,0))&amp;" | Progresso: "&amp;TEXT(INDEX(Metas!$E$2:$E$100,MATCH(1,Metas!$A$2:$A$100,0))/INDEX(Metas!$D$2:$D$100,MATCH(1,Metas!$A$2:$A$100,0)),"0%")&amp;" | Status: "&amp;INDEX(Metas!$G$2:$G$100,MATCH(1,Metas!$A$2:$A$100,0)),"Nenhuma meta cadastrada")</f>
        <v>Meta: Economia Mensal | Progresso: 25% | Status: Em andamento</v>
      </c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54"/>
      <c r="Q75" s="33"/>
    </row>
    <row r="76" spans="1:17" ht="20.100000000000001" customHeight="1" x14ac:dyDescent="0.25">
      <c r="A76" s="61"/>
      <c r="B76" s="61"/>
      <c r="C76" s="62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54"/>
      <c r="Q76" s="33"/>
    </row>
    <row r="77" spans="1:17" ht="20.100000000000001" customHeight="1" x14ac:dyDescent="0.25">
      <c r="A77" s="45"/>
      <c r="B77" s="45"/>
      <c r="C77" s="4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54"/>
      <c r="Q77" s="33"/>
    </row>
    <row r="78" spans="1:17" x14ac:dyDescent="0.25">
      <c r="A78" s="45"/>
      <c r="B78" s="45"/>
      <c r="C78" s="45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54"/>
      <c r="Q78" s="33"/>
    </row>
    <row r="79" spans="1:17" ht="21.95" customHeight="1" x14ac:dyDescent="0.25">
      <c r="A79" s="45"/>
      <c r="B79" s="45"/>
      <c r="C79" s="45"/>
      <c r="D79" s="67" t="s">
        <v>127</v>
      </c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54"/>
      <c r="Q79" s="33"/>
    </row>
    <row r="80" spans="1:17" ht="21.95" customHeight="1" x14ac:dyDescent="0.25">
      <c r="A80" s="45"/>
      <c r="B80" s="45"/>
      <c r="C80" s="45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54"/>
      <c r="Q80" s="33"/>
    </row>
    <row r="81" spans="1:17" ht="20.100000000000001" customHeight="1" x14ac:dyDescent="0.25">
      <c r="A81" s="45"/>
      <c r="B81" s="45"/>
      <c r="C81" s="45"/>
      <c r="D81" s="23" t="s">
        <v>2</v>
      </c>
      <c r="E81" s="95" t="s">
        <v>5</v>
      </c>
      <c r="F81" s="95"/>
      <c r="G81" s="95"/>
      <c r="H81" s="95" t="s">
        <v>4</v>
      </c>
      <c r="I81" s="95"/>
      <c r="J81" s="23" t="s">
        <v>3</v>
      </c>
      <c r="K81" s="95" t="s">
        <v>6</v>
      </c>
      <c r="L81" s="95"/>
      <c r="M81" s="95" t="s">
        <v>70</v>
      </c>
      <c r="N81" s="95"/>
      <c r="O81" s="95"/>
      <c r="P81" s="54"/>
      <c r="Q81" s="33"/>
    </row>
    <row r="82" spans="1:17" ht="21.95" customHeight="1" x14ac:dyDescent="0.25">
      <c r="A82" s="45"/>
      <c r="B82" s="45"/>
      <c r="C82" s="45"/>
      <c r="D82" s="47">
        <v>46286</v>
      </c>
      <c r="E82" s="69" t="s">
        <v>101</v>
      </c>
      <c r="F82" s="90"/>
      <c r="G82" s="70"/>
      <c r="H82" s="69" t="s">
        <v>21</v>
      </c>
      <c r="I82" s="70"/>
      <c r="J82" s="26" t="s">
        <v>22</v>
      </c>
      <c r="K82" s="71">
        <v>-4000</v>
      </c>
      <c r="L82" s="72"/>
      <c r="M82" s="73">
        <v>2750</v>
      </c>
      <c r="N82" s="74"/>
      <c r="O82" s="75"/>
      <c r="P82" s="54"/>
      <c r="Q82" s="33"/>
    </row>
    <row r="83" spans="1:17" ht="21.95" customHeight="1" x14ac:dyDescent="0.25">
      <c r="A83" s="45"/>
      <c r="B83" s="45"/>
      <c r="C83" s="45"/>
      <c r="D83" s="48">
        <v>46286</v>
      </c>
      <c r="E83" s="76" t="s">
        <v>103</v>
      </c>
      <c r="F83" s="77"/>
      <c r="G83" s="78"/>
      <c r="H83" s="76" t="s">
        <v>28</v>
      </c>
      <c r="I83" s="78"/>
      <c r="J83" s="27" t="s">
        <v>22</v>
      </c>
      <c r="K83" s="79">
        <v>-200</v>
      </c>
      <c r="L83" s="80"/>
      <c r="M83" s="81">
        <v>6750</v>
      </c>
      <c r="N83" s="82"/>
      <c r="O83" s="83"/>
      <c r="P83" s="54"/>
      <c r="Q83" s="33"/>
    </row>
    <row r="84" spans="1:17" ht="21.95" customHeight="1" x14ac:dyDescent="0.25">
      <c r="A84" s="45"/>
      <c r="B84" s="45"/>
      <c r="C84" s="45"/>
      <c r="D84" s="47">
        <v>46286</v>
      </c>
      <c r="E84" s="69" t="s">
        <v>104</v>
      </c>
      <c r="F84" s="90"/>
      <c r="G84" s="70"/>
      <c r="H84" s="69" t="s">
        <v>24</v>
      </c>
      <c r="I84" s="70"/>
      <c r="J84" s="26" t="s">
        <v>22</v>
      </c>
      <c r="K84" s="71">
        <v>-250</v>
      </c>
      <c r="L84" s="72"/>
      <c r="M84" s="73">
        <v>6950</v>
      </c>
      <c r="N84" s="74"/>
      <c r="O84" s="75"/>
      <c r="P84" s="54"/>
      <c r="Q84" s="33"/>
    </row>
    <row r="85" spans="1:17" ht="21.95" customHeight="1" x14ac:dyDescent="0.25">
      <c r="A85" s="45"/>
      <c r="B85" s="45"/>
      <c r="C85" s="45"/>
      <c r="D85" s="48">
        <v>46285</v>
      </c>
      <c r="E85" s="76" t="s">
        <v>61</v>
      </c>
      <c r="F85" s="77"/>
      <c r="G85" s="78"/>
      <c r="H85" s="76" t="s">
        <v>16</v>
      </c>
      <c r="I85" s="78"/>
      <c r="J85" s="28" t="s">
        <v>17</v>
      </c>
      <c r="K85" s="93">
        <v>3600</v>
      </c>
      <c r="L85" s="94"/>
      <c r="M85" s="81">
        <v>7200</v>
      </c>
      <c r="N85" s="82"/>
      <c r="O85" s="83"/>
      <c r="P85" s="54"/>
      <c r="Q85" s="33"/>
    </row>
    <row r="86" spans="1:17" ht="21.95" customHeight="1" x14ac:dyDescent="0.25">
      <c r="A86" s="45"/>
      <c r="B86" s="45"/>
      <c r="C86" s="45"/>
      <c r="D86" s="47">
        <v>46254</v>
      </c>
      <c r="E86" s="69" t="s">
        <v>116</v>
      </c>
      <c r="F86" s="90"/>
      <c r="G86" s="70"/>
      <c r="H86" s="69" t="s">
        <v>16</v>
      </c>
      <c r="I86" s="70"/>
      <c r="J86" s="29" t="s">
        <v>17</v>
      </c>
      <c r="K86" s="91">
        <v>3600</v>
      </c>
      <c r="L86" s="92"/>
      <c r="M86" s="73">
        <v>3600</v>
      </c>
      <c r="N86" s="74"/>
      <c r="O86" s="75"/>
      <c r="P86" s="54"/>
      <c r="Q86" s="33"/>
    </row>
    <row r="87" spans="1:17" ht="21.95" customHeight="1" x14ac:dyDescent="0.25">
      <c r="A87" s="45"/>
      <c r="B87" s="45"/>
      <c r="C87" s="45"/>
      <c r="D87" s="24"/>
      <c r="E87" s="25"/>
      <c r="F87" s="25"/>
      <c r="G87" s="25"/>
      <c r="H87" s="25"/>
      <c r="I87" s="25"/>
      <c r="J87" s="24"/>
      <c r="K87" s="46"/>
      <c r="L87" s="46"/>
      <c r="M87" s="46"/>
      <c r="N87" s="46"/>
      <c r="O87" s="46"/>
      <c r="P87" s="54"/>
      <c r="Q87" s="33"/>
    </row>
    <row r="88" spans="1:17" ht="21.95" customHeight="1" x14ac:dyDescent="0.25">
      <c r="A88" s="45"/>
      <c r="B88" s="45"/>
      <c r="C88" s="45"/>
      <c r="D88" s="24"/>
      <c r="E88" s="25"/>
      <c r="F88" s="25"/>
      <c r="G88" s="25"/>
      <c r="H88" s="25"/>
      <c r="I88" s="25"/>
      <c r="J88" s="24"/>
      <c r="K88" s="46"/>
      <c r="L88" s="46"/>
      <c r="M88" s="46"/>
      <c r="N88" s="46"/>
      <c r="O88" s="46"/>
      <c r="P88" s="54"/>
      <c r="Q88" s="33"/>
    </row>
    <row r="89" spans="1:17" ht="21.95" customHeight="1" x14ac:dyDescent="0.25">
      <c r="A89" s="45"/>
      <c r="B89" s="45"/>
      <c r="C89" s="45"/>
      <c r="D89" s="24"/>
      <c r="E89" s="25"/>
      <c r="F89" s="25"/>
      <c r="G89" s="25"/>
      <c r="H89" s="25"/>
      <c r="I89" s="25"/>
      <c r="J89" s="24"/>
      <c r="K89" s="46"/>
      <c r="L89" s="46"/>
      <c r="M89" s="46"/>
      <c r="N89" s="46"/>
      <c r="O89" s="46"/>
      <c r="P89" s="54"/>
      <c r="Q89" s="33"/>
    </row>
    <row r="90" spans="1:17" ht="15" x14ac:dyDescent="0.25">
      <c r="A90" s="45"/>
      <c r="B90" s="45"/>
      <c r="C90" s="45"/>
      <c r="D90"/>
      <c r="E90"/>
      <c r="F90"/>
      <c r="G90"/>
      <c r="H90"/>
      <c r="I90"/>
      <c r="J90"/>
      <c r="K90"/>
      <c r="L90"/>
      <c r="M90"/>
      <c r="N90"/>
      <c r="O90"/>
      <c r="P90" s="54"/>
      <c r="Q90" s="33"/>
    </row>
    <row r="91" spans="1:17" ht="15" x14ac:dyDescent="0.25">
      <c r="A91" s="45"/>
      <c r="B91" s="45"/>
      <c r="C91" s="45"/>
      <c r="D91"/>
      <c r="E91"/>
      <c r="F91"/>
      <c r="G91"/>
      <c r="H91"/>
      <c r="I91"/>
      <c r="J91"/>
      <c r="K91"/>
      <c r="L91"/>
      <c r="M91"/>
      <c r="N91"/>
      <c r="O91"/>
      <c r="P91" s="54"/>
      <c r="Q91" s="33"/>
    </row>
    <row r="92" spans="1:17" x14ac:dyDescent="0.25">
      <c r="A92" s="45"/>
      <c r="B92" s="45"/>
      <c r="C92" s="45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54"/>
      <c r="Q92" s="33"/>
    </row>
    <row r="93" spans="1:17" ht="21.95" customHeight="1" x14ac:dyDescent="0.25">
      <c r="A93" s="45"/>
      <c r="B93" s="45"/>
      <c r="C93" s="45"/>
      <c r="D93" s="67" t="s">
        <v>128</v>
      </c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54"/>
      <c r="Q93" s="33"/>
    </row>
    <row r="94" spans="1:17" ht="21.95" customHeight="1" x14ac:dyDescent="0.25">
      <c r="A94" s="45"/>
      <c r="B94" s="45"/>
      <c r="C94" s="45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54"/>
      <c r="Q94" s="33"/>
    </row>
    <row r="95" spans="1:17" ht="21" customHeight="1" x14ac:dyDescent="0.25">
      <c r="A95" s="45"/>
      <c r="B95" s="45"/>
      <c r="C95" s="45"/>
      <c r="D95" s="63" t="s">
        <v>129</v>
      </c>
      <c r="E95" s="63"/>
      <c r="F95" s="64" t="s">
        <v>130</v>
      </c>
      <c r="G95" s="64"/>
      <c r="H95" s="64"/>
      <c r="I95" s="64"/>
      <c r="J95" s="64"/>
      <c r="K95" s="64"/>
      <c r="L95" s="64"/>
      <c r="M95" s="64"/>
      <c r="N95" s="64"/>
      <c r="O95" s="64"/>
      <c r="P95" s="54"/>
      <c r="Q95" s="33"/>
    </row>
    <row r="96" spans="1:17" ht="21.95" customHeight="1" x14ac:dyDescent="0.25">
      <c r="A96" s="45"/>
      <c r="B96" s="45"/>
      <c r="C96" s="45"/>
      <c r="D96" s="63"/>
      <c r="E96" s="63"/>
      <c r="F96" s="65" t="s">
        <v>131</v>
      </c>
      <c r="G96" s="65"/>
      <c r="H96" s="65"/>
      <c r="I96" s="65"/>
      <c r="J96" s="65"/>
      <c r="K96" s="65"/>
      <c r="L96" s="65"/>
      <c r="M96" s="65"/>
      <c r="N96" s="65"/>
      <c r="O96" s="65"/>
      <c r="P96" s="54"/>
      <c r="Q96" s="33"/>
    </row>
    <row r="97" spans="1:17" ht="21.95" customHeight="1" x14ac:dyDescent="0.25">
      <c r="A97" s="45"/>
      <c r="B97" s="45"/>
      <c r="C97" s="45"/>
      <c r="D97" s="63"/>
      <c r="E97" s="63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54"/>
      <c r="Q97" s="33"/>
    </row>
    <row r="98" spans="1:17" ht="21.95" customHeight="1" x14ac:dyDescent="0.25">
      <c r="A98" s="45"/>
      <c r="B98" s="45"/>
      <c r="C98" s="45"/>
      <c r="D98" s="63"/>
      <c r="E98" s="63"/>
      <c r="F98" s="66" t="s">
        <v>132</v>
      </c>
      <c r="G98" s="66"/>
      <c r="H98" s="66"/>
      <c r="I98" s="66"/>
      <c r="J98" s="66"/>
      <c r="K98" s="66"/>
      <c r="L98" s="66"/>
      <c r="M98" s="66"/>
      <c r="N98" s="66"/>
      <c r="O98" s="66"/>
      <c r="P98" s="54"/>
      <c r="Q98" s="33"/>
    </row>
    <row r="99" spans="1:17" ht="21.95" customHeight="1" x14ac:dyDescent="0.25">
      <c r="A99" s="45"/>
      <c r="B99" s="45"/>
      <c r="C99" s="45"/>
      <c r="D99" s="30"/>
      <c r="E99" s="30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54"/>
      <c r="Q99" s="33"/>
    </row>
    <row r="100" spans="1:17" x14ac:dyDescent="0.25">
      <c r="P100" s="54"/>
      <c r="Q100" s="33"/>
    </row>
  </sheetData>
  <mergeCells count="85">
    <mergeCell ref="M31:O31"/>
    <mergeCell ref="J34:L34"/>
    <mergeCell ref="M34:O34"/>
    <mergeCell ref="A2:C4"/>
    <mergeCell ref="A6:C7"/>
    <mergeCell ref="A9:C10"/>
    <mergeCell ref="J5:L5"/>
    <mergeCell ref="J6:L9"/>
    <mergeCell ref="D5:F5"/>
    <mergeCell ref="D6:F9"/>
    <mergeCell ref="G5:I5"/>
    <mergeCell ref="G6:I9"/>
    <mergeCell ref="D4:O4"/>
    <mergeCell ref="M5:O5"/>
    <mergeCell ref="M6:O9"/>
    <mergeCell ref="A15:C16"/>
    <mergeCell ref="A18:C19"/>
    <mergeCell ref="A21:C22"/>
    <mergeCell ref="A24:C25"/>
    <mergeCell ref="A12:C13"/>
    <mergeCell ref="J26:O26"/>
    <mergeCell ref="J29:L29"/>
    <mergeCell ref="M29:O29"/>
    <mergeCell ref="D26:I26"/>
    <mergeCell ref="J27:O27"/>
    <mergeCell ref="J28:L28"/>
    <mergeCell ref="M28:O28"/>
    <mergeCell ref="J30:L30"/>
    <mergeCell ref="M30:O30"/>
    <mergeCell ref="J31:L31"/>
    <mergeCell ref="J35:O35"/>
    <mergeCell ref="D69:O69"/>
    <mergeCell ref="D38:O38"/>
    <mergeCell ref="D40:F40"/>
    <mergeCell ref="D41:F43"/>
    <mergeCell ref="G40:I40"/>
    <mergeCell ref="G41:I43"/>
    <mergeCell ref="J40:O40"/>
    <mergeCell ref="J41:O43"/>
    <mergeCell ref="D44:F44"/>
    <mergeCell ref="D45:F46"/>
    <mergeCell ref="J44:O46"/>
    <mergeCell ref="D47:O47"/>
    <mergeCell ref="E81:G81"/>
    <mergeCell ref="H81:I81"/>
    <mergeCell ref="K81:L81"/>
    <mergeCell ref="M81:O81"/>
    <mergeCell ref="D70:G70"/>
    <mergeCell ref="D71:G73"/>
    <mergeCell ref="H70:K70"/>
    <mergeCell ref="H71:K73"/>
    <mergeCell ref="L70:O70"/>
    <mergeCell ref="L71:O73"/>
    <mergeCell ref="D1:I3"/>
    <mergeCell ref="J1:L3"/>
    <mergeCell ref="M1:O3"/>
    <mergeCell ref="E86:G86"/>
    <mergeCell ref="H86:I86"/>
    <mergeCell ref="K86:L86"/>
    <mergeCell ref="M86:O86"/>
    <mergeCell ref="E84:G84"/>
    <mergeCell ref="H84:I84"/>
    <mergeCell ref="K84:L84"/>
    <mergeCell ref="M84:O84"/>
    <mergeCell ref="E85:G85"/>
    <mergeCell ref="H85:I85"/>
    <mergeCell ref="K85:L85"/>
    <mergeCell ref="M85:O85"/>
    <mergeCell ref="E82:G82"/>
    <mergeCell ref="A72:C76"/>
    <mergeCell ref="D95:E98"/>
    <mergeCell ref="F95:O95"/>
    <mergeCell ref="F96:O97"/>
    <mergeCell ref="F98:O99"/>
    <mergeCell ref="D93:O94"/>
    <mergeCell ref="H82:I82"/>
    <mergeCell ref="K82:L82"/>
    <mergeCell ref="M82:O82"/>
    <mergeCell ref="E83:G83"/>
    <mergeCell ref="H83:I83"/>
    <mergeCell ref="K83:L83"/>
    <mergeCell ref="M83:O83"/>
    <mergeCell ref="D74:O74"/>
    <mergeCell ref="D75:O77"/>
    <mergeCell ref="D79:O80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C4EED-3813-49B1-B152-E8FBCB2441B5}">
  <sheetPr codeName="Planilha2"/>
  <dimension ref="A1:Z100"/>
  <sheetViews>
    <sheetView showGridLines="0" topLeftCell="A35" zoomScale="70" zoomScaleNormal="70" workbookViewId="0">
      <selection activeCell="B12" sqref="B12"/>
    </sheetView>
  </sheetViews>
  <sheetFormatPr defaultColWidth="8.7109375" defaultRowHeight="20.100000000000001" customHeight="1" x14ac:dyDescent="0.25"/>
  <cols>
    <col min="1" max="8" width="15.7109375" style="3" customWidth="1"/>
    <col min="9" max="13" width="13.5703125" style="3" customWidth="1"/>
    <col min="14" max="14" width="13.5703125" style="3" hidden="1" customWidth="1"/>
    <col min="15" max="15" width="0" style="4" hidden="1" customWidth="1"/>
    <col min="16" max="16" width="0" style="3" hidden="1" customWidth="1"/>
    <col min="17" max="17" width="11.5703125" style="3" hidden="1" customWidth="1"/>
    <col min="18" max="18" width="0" style="4" hidden="1" customWidth="1"/>
    <col min="19" max="26" width="0" style="3" hidden="1" customWidth="1"/>
    <col min="27" max="16384" width="8.7109375" style="3"/>
  </cols>
  <sheetData>
    <row r="1" spans="1:26" ht="36" customHeight="1" x14ac:dyDescent="0.25">
      <c r="A1" s="194" t="s">
        <v>0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N1" t="s">
        <v>4</v>
      </c>
      <c r="O1" s="2" t="s">
        <v>6</v>
      </c>
      <c r="P1"/>
      <c r="Q1" t="s">
        <v>76</v>
      </c>
      <c r="R1" s="2" t="s">
        <v>70</v>
      </c>
      <c r="S1"/>
      <c r="T1"/>
      <c r="U1"/>
      <c r="V1"/>
      <c r="W1"/>
      <c r="X1"/>
      <c r="Y1"/>
      <c r="Z1"/>
    </row>
    <row r="2" spans="1:26" ht="24" customHeight="1" x14ac:dyDescent="0.25">
      <c r="A2" s="196" t="s">
        <v>97</v>
      </c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5"/>
      <c r="N2" t="s">
        <v>75</v>
      </c>
      <c r="O2" s="2">
        <v>0</v>
      </c>
      <c r="P2"/>
      <c r="Q2" t="s">
        <v>85</v>
      </c>
      <c r="R2" s="2">
        <v>0</v>
      </c>
      <c r="S2"/>
      <c r="T2"/>
      <c r="U2"/>
      <c r="V2"/>
      <c r="W2"/>
      <c r="X2"/>
      <c r="Y2"/>
      <c r="Z2"/>
    </row>
    <row r="3" spans="1:26" ht="20.100000000000001" customHeight="1" x14ac:dyDescent="0.25">
      <c r="N3"/>
      <c r="O3" s="2"/>
      <c r="P3"/>
      <c r="Q3" t="s">
        <v>86</v>
      </c>
      <c r="R3" s="2">
        <v>0</v>
      </c>
      <c r="S3"/>
      <c r="T3"/>
      <c r="U3"/>
      <c r="V3"/>
      <c r="W3"/>
      <c r="X3"/>
      <c r="Y3"/>
      <c r="Z3"/>
    </row>
    <row r="4" spans="1:26" ht="24" customHeight="1" x14ac:dyDescent="0.25">
      <c r="A4" s="200" t="s">
        <v>64</v>
      </c>
      <c r="B4" s="200"/>
      <c r="C4" s="200"/>
      <c r="D4" s="197" t="s">
        <v>65</v>
      </c>
      <c r="E4" s="197"/>
      <c r="F4" s="197"/>
      <c r="G4" s="198" t="s">
        <v>78</v>
      </c>
      <c r="H4" s="198"/>
      <c r="I4" s="198"/>
      <c r="J4" s="199" t="s">
        <v>66</v>
      </c>
      <c r="K4" s="199"/>
      <c r="L4" s="199"/>
      <c r="N4"/>
      <c r="O4" s="2"/>
      <c r="P4"/>
      <c r="Q4" t="s">
        <v>87</v>
      </c>
      <c r="R4" s="2">
        <v>0</v>
      </c>
      <c r="S4"/>
      <c r="T4"/>
      <c r="U4"/>
      <c r="V4"/>
      <c r="W4"/>
      <c r="X4"/>
      <c r="Y4"/>
      <c r="Z4"/>
    </row>
    <row r="5" spans="1:26" ht="32.1" customHeight="1" x14ac:dyDescent="0.25">
      <c r="A5" s="190">
        <f>SUMIF(Lançamentos!C:C,"Receita",Lançamentos!F:F)</f>
        <v>7200</v>
      </c>
      <c r="B5" s="190"/>
      <c r="C5" s="190"/>
      <c r="D5" s="191">
        <f>SUMIF(Lançamentos!C:C,"Despesa",Lançamentos!F:F)</f>
        <v>4450</v>
      </c>
      <c r="E5" s="191"/>
      <c r="F5" s="191"/>
      <c r="G5" s="192">
        <f t="shared" ref="G5" si="0">B12-B13</f>
        <v>2750</v>
      </c>
      <c r="H5" s="192"/>
      <c r="I5" s="192"/>
      <c r="J5" s="193">
        <f>COUNTA(Lançamentos!B:B)-1</f>
        <v>5</v>
      </c>
      <c r="K5" s="193"/>
      <c r="L5" s="193"/>
      <c r="N5"/>
      <c r="O5" s="2"/>
      <c r="P5"/>
      <c r="Q5" t="s">
        <v>88</v>
      </c>
      <c r="R5" s="2">
        <v>0</v>
      </c>
      <c r="S5"/>
      <c r="T5"/>
      <c r="U5"/>
      <c r="V5"/>
      <c r="W5"/>
      <c r="X5"/>
      <c r="Y5"/>
      <c r="Z5"/>
    </row>
    <row r="6" spans="1:26" ht="32.1" customHeight="1" x14ac:dyDescent="0.25">
      <c r="A6" s="190"/>
      <c r="B6" s="190"/>
      <c r="C6" s="190"/>
      <c r="D6" s="191"/>
      <c r="E6" s="191"/>
      <c r="F6" s="191"/>
      <c r="G6" s="192"/>
      <c r="H6" s="192"/>
      <c r="I6" s="192"/>
      <c r="J6" s="193"/>
      <c r="K6" s="193"/>
      <c r="L6" s="193"/>
      <c r="N6"/>
      <c r="O6" s="2"/>
      <c r="P6"/>
      <c r="Q6" t="s">
        <v>89</v>
      </c>
      <c r="R6" s="2">
        <v>0</v>
      </c>
      <c r="S6"/>
      <c r="T6"/>
      <c r="U6"/>
      <c r="V6"/>
      <c r="W6"/>
      <c r="X6"/>
      <c r="Y6"/>
      <c r="Z6"/>
    </row>
    <row r="7" spans="1:26" ht="20.100000000000001" customHeight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N7"/>
      <c r="O7" s="2"/>
      <c r="P7"/>
      <c r="Q7" t="s">
        <v>90</v>
      </c>
      <c r="R7" s="2">
        <v>0</v>
      </c>
      <c r="S7"/>
      <c r="T7"/>
      <c r="U7"/>
      <c r="V7"/>
      <c r="W7"/>
      <c r="X7"/>
      <c r="Y7"/>
      <c r="Z7"/>
    </row>
    <row r="8" spans="1:26" ht="20.100000000000001" customHeight="1" x14ac:dyDescent="0.25">
      <c r="N8"/>
      <c r="O8" s="2"/>
      <c r="P8"/>
      <c r="Q8" t="s">
        <v>91</v>
      </c>
      <c r="R8" s="2">
        <v>0</v>
      </c>
      <c r="S8"/>
      <c r="T8"/>
      <c r="U8"/>
      <c r="V8"/>
      <c r="W8"/>
      <c r="X8"/>
      <c r="Y8"/>
      <c r="Z8"/>
    </row>
    <row r="9" spans="1:26" ht="24" customHeight="1" x14ac:dyDescent="0.25">
      <c r="A9" s="188" t="s">
        <v>67</v>
      </c>
      <c r="B9" s="188"/>
      <c r="C9" s="188"/>
      <c r="D9" s="188"/>
      <c r="F9" s="188" t="s">
        <v>72</v>
      </c>
      <c r="G9" s="188"/>
      <c r="H9" s="188"/>
      <c r="I9" s="188"/>
      <c r="J9" s="188"/>
      <c r="K9" s="188"/>
      <c r="L9" s="188"/>
      <c r="N9"/>
      <c r="O9" s="2"/>
      <c r="P9"/>
      <c r="Q9" t="s">
        <v>92</v>
      </c>
      <c r="R9" s="2">
        <v>0</v>
      </c>
      <c r="S9"/>
      <c r="T9"/>
      <c r="U9"/>
      <c r="V9"/>
      <c r="W9"/>
      <c r="X9"/>
      <c r="Y9"/>
      <c r="Z9"/>
    </row>
    <row r="10" spans="1:26" ht="20.100000000000001" customHeight="1" x14ac:dyDescent="0.3">
      <c r="A10" s="20"/>
      <c r="B10" s="20"/>
      <c r="G10" s="20"/>
      <c r="H10" s="20"/>
      <c r="I10" s="20"/>
      <c r="J10" s="20"/>
      <c r="K10" s="20"/>
      <c r="L10" s="20"/>
      <c r="N10"/>
      <c r="O10" s="2"/>
      <c r="P10"/>
      <c r="Q10" t="s">
        <v>93</v>
      </c>
      <c r="R10" s="2">
        <v>3600</v>
      </c>
      <c r="S10"/>
      <c r="T10"/>
      <c r="U10"/>
      <c r="V10"/>
      <c r="W10"/>
      <c r="X10"/>
      <c r="Y10"/>
      <c r="Z10"/>
    </row>
    <row r="11" spans="1:26" ht="20.100000000000001" customHeight="1" x14ac:dyDescent="0.25">
      <c r="A11" s="14" t="s">
        <v>73</v>
      </c>
      <c r="B11" s="14" t="s">
        <v>6</v>
      </c>
      <c r="N11"/>
      <c r="O11" s="2"/>
      <c r="P11"/>
      <c r="Q11" t="s">
        <v>94</v>
      </c>
      <c r="R11" s="2">
        <v>3600</v>
      </c>
      <c r="S11"/>
      <c r="T11"/>
      <c r="U11"/>
      <c r="V11"/>
      <c r="W11"/>
      <c r="X11"/>
      <c r="Y11"/>
      <c r="Z11"/>
    </row>
    <row r="12" spans="1:26" ht="20.100000000000001" customHeight="1" x14ac:dyDescent="0.25">
      <c r="A12" s="15" t="s">
        <v>68</v>
      </c>
      <c r="B12" s="16">
        <f>SUMIF(Lançamentos!C:C,"Receita",Lançamentos!F:F)</f>
        <v>7200</v>
      </c>
      <c r="N12"/>
      <c r="O12" s="2"/>
      <c r="P12"/>
      <c r="Q12" t="s">
        <v>95</v>
      </c>
      <c r="R12" s="2">
        <v>3600</v>
      </c>
      <c r="S12"/>
      <c r="T12"/>
      <c r="U12"/>
      <c r="V12"/>
      <c r="W12"/>
      <c r="X12"/>
      <c r="Y12"/>
      <c r="Z12"/>
    </row>
    <row r="13" spans="1:26" ht="20.100000000000001" customHeight="1" x14ac:dyDescent="0.25">
      <c r="A13" s="15" t="s">
        <v>69</v>
      </c>
      <c r="B13" s="17">
        <f>SUMIF(Lançamentos!C:C,"Despesa",Lançamentos!F:F)</f>
        <v>4450</v>
      </c>
      <c r="N13"/>
      <c r="O13" s="2"/>
      <c r="P13"/>
      <c r="Q13" t="s">
        <v>96</v>
      </c>
      <c r="R13" s="2">
        <v>3600</v>
      </c>
      <c r="S13"/>
      <c r="T13"/>
      <c r="U13"/>
      <c r="V13"/>
      <c r="W13"/>
      <c r="X13"/>
      <c r="Y13"/>
      <c r="Z13"/>
    </row>
    <row r="14" spans="1:26" ht="20.100000000000001" customHeight="1" x14ac:dyDescent="0.25">
      <c r="A14" s="15" t="s">
        <v>70</v>
      </c>
      <c r="B14" s="18">
        <f>B12-B13</f>
        <v>2750</v>
      </c>
      <c r="N14"/>
      <c r="O14" s="2"/>
      <c r="P14"/>
      <c r="Q14"/>
      <c r="R14" s="2"/>
      <c r="S14"/>
      <c r="T14"/>
      <c r="U14"/>
      <c r="V14"/>
      <c r="W14"/>
      <c r="X14"/>
      <c r="Y14"/>
      <c r="Z14"/>
    </row>
    <row r="15" spans="1:26" ht="20.100000000000001" customHeight="1" x14ac:dyDescent="0.25">
      <c r="A15" s="15" t="s">
        <v>71</v>
      </c>
      <c r="B15" s="19">
        <f>COUNTA(Lançamentos!B:B)-1</f>
        <v>5</v>
      </c>
      <c r="N15"/>
      <c r="O15" s="2"/>
      <c r="P15"/>
      <c r="Q15"/>
      <c r="R15" s="2"/>
      <c r="S15"/>
      <c r="T15"/>
      <c r="U15"/>
      <c r="V15"/>
      <c r="W15"/>
      <c r="X15"/>
      <c r="Y15"/>
      <c r="Z15"/>
    </row>
    <row r="16" spans="1:26" ht="20.100000000000001" customHeight="1" x14ac:dyDescent="0.25">
      <c r="N16"/>
      <c r="O16" s="2"/>
      <c r="P16"/>
      <c r="Q16"/>
      <c r="R16" s="2"/>
      <c r="S16"/>
      <c r="T16"/>
      <c r="U16"/>
      <c r="V16"/>
      <c r="W16"/>
      <c r="X16"/>
      <c r="Y16"/>
      <c r="Z16"/>
    </row>
    <row r="17" spans="1:26" ht="21.95" customHeight="1" x14ac:dyDescent="0.25">
      <c r="A17" s="188" t="s">
        <v>77</v>
      </c>
      <c r="B17" s="188"/>
      <c r="C17" s="188"/>
      <c r="D17" s="188"/>
      <c r="F17" s="163" t="s">
        <v>81</v>
      </c>
      <c r="G17" s="163"/>
      <c r="H17" s="163"/>
      <c r="I17" s="163"/>
      <c r="J17" s="164" t="s">
        <v>79</v>
      </c>
      <c r="K17" s="165"/>
      <c r="L17" s="166"/>
      <c r="N17"/>
      <c r="O17" s="2"/>
      <c r="P17"/>
      <c r="Q17"/>
      <c r="R17" s="2"/>
      <c r="S17"/>
      <c r="T17"/>
      <c r="U17"/>
      <c r="V17"/>
      <c r="W17"/>
      <c r="X17"/>
      <c r="Y17"/>
      <c r="Z17"/>
    </row>
    <row r="18" spans="1:26" ht="24" customHeight="1" x14ac:dyDescent="0.25">
      <c r="A18" s="189" t="s">
        <v>80</v>
      </c>
      <c r="B18" s="189"/>
      <c r="C18" s="189"/>
      <c r="D18" s="189"/>
      <c r="F18" s="9" t="s">
        <v>68</v>
      </c>
      <c r="G18" s="10">
        <v>3600</v>
      </c>
      <c r="H18" s="6"/>
      <c r="I18" s="6"/>
      <c r="J18" s="167"/>
      <c r="K18" s="168"/>
      <c r="L18" s="169"/>
      <c r="N18"/>
      <c r="O18" s="2"/>
      <c r="P18"/>
      <c r="Q18"/>
      <c r="R18" s="2"/>
      <c r="S18"/>
      <c r="T18"/>
      <c r="U18"/>
      <c r="V18"/>
      <c r="W18"/>
      <c r="X18"/>
      <c r="Y18"/>
      <c r="Z18"/>
    </row>
    <row r="19" spans="1:26" ht="24" customHeight="1" x14ac:dyDescent="0.25">
      <c r="A19" s="189"/>
      <c r="B19" s="189"/>
      <c r="C19" s="189"/>
      <c r="D19" s="189"/>
      <c r="F19" s="9" t="s">
        <v>69</v>
      </c>
      <c r="G19" s="10">
        <v>0</v>
      </c>
      <c r="H19" s="6"/>
      <c r="I19" s="6"/>
      <c r="J19" s="170">
        <v>0.95</v>
      </c>
      <c r="K19" s="171"/>
      <c r="L19" s="172"/>
      <c r="N19"/>
      <c r="O19" s="2"/>
      <c r="P19"/>
      <c r="Q19"/>
      <c r="R19" s="2"/>
      <c r="S19"/>
      <c r="T19"/>
      <c r="U19"/>
      <c r="V19"/>
      <c r="W19"/>
      <c r="X19"/>
      <c r="Y19"/>
      <c r="Z19"/>
    </row>
    <row r="20" spans="1:26" ht="24" customHeight="1" x14ac:dyDescent="0.25">
      <c r="A20" s="189"/>
      <c r="B20" s="189"/>
      <c r="C20" s="189"/>
      <c r="D20" s="189"/>
      <c r="F20" s="9" t="s">
        <v>70</v>
      </c>
      <c r="G20" s="10">
        <v>3600</v>
      </c>
      <c r="H20" s="6"/>
      <c r="I20" s="6"/>
      <c r="J20" s="173"/>
      <c r="K20" s="174"/>
      <c r="L20" s="175"/>
      <c r="N20"/>
      <c r="O20" s="2"/>
      <c r="P20"/>
      <c r="Q20"/>
      <c r="R20" s="2"/>
      <c r="S20"/>
      <c r="T20"/>
      <c r="U20"/>
      <c r="V20"/>
      <c r="W20"/>
      <c r="X20"/>
      <c r="Y20"/>
      <c r="Z20"/>
    </row>
    <row r="21" spans="1:26" ht="24" customHeight="1" x14ac:dyDescent="0.25">
      <c r="A21" s="189"/>
      <c r="B21" s="189"/>
      <c r="C21" s="189"/>
      <c r="D21" s="189"/>
      <c r="F21" s="9" t="s">
        <v>82</v>
      </c>
      <c r="G21" s="11">
        <v>1</v>
      </c>
      <c r="H21" s="6"/>
      <c r="I21" s="6"/>
      <c r="J21" s="176"/>
      <c r="K21" s="177"/>
      <c r="L21" s="178"/>
      <c r="N21"/>
      <c r="O21" s="2"/>
      <c r="P21"/>
      <c r="Q21"/>
      <c r="R21" s="2"/>
      <c r="S21"/>
      <c r="T21"/>
      <c r="U21"/>
      <c r="V21"/>
      <c r="W21"/>
      <c r="X21"/>
      <c r="Y21"/>
      <c r="Z21"/>
    </row>
    <row r="22" spans="1:26" ht="21.95" customHeight="1" x14ac:dyDescent="0.25">
      <c r="A22" s="189"/>
      <c r="B22" s="189"/>
      <c r="C22" s="189"/>
      <c r="D22" s="189"/>
      <c r="F22" s="6"/>
      <c r="G22" s="6"/>
      <c r="H22" s="6"/>
      <c r="I22" s="6"/>
      <c r="J22" s="179" t="s">
        <v>83</v>
      </c>
      <c r="K22" s="180"/>
      <c r="L22" s="181"/>
      <c r="N22"/>
      <c r="O22" s="2"/>
      <c r="P22"/>
      <c r="Q22"/>
      <c r="R22" s="2"/>
      <c r="S22"/>
      <c r="T22"/>
      <c r="U22"/>
      <c r="V22"/>
      <c r="W22"/>
      <c r="X22"/>
      <c r="Y22"/>
      <c r="Z22"/>
    </row>
    <row r="23" spans="1:26" ht="24" customHeight="1" x14ac:dyDescent="0.25">
      <c r="A23" s="189"/>
      <c r="B23" s="189"/>
      <c r="C23" s="189"/>
      <c r="D23" s="189"/>
      <c r="F23" s="6"/>
      <c r="G23" s="6"/>
      <c r="H23" s="6"/>
      <c r="I23" s="6"/>
      <c r="J23" s="182" t="s">
        <v>84</v>
      </c>
      <c r="K23" s="183"/>
      <c r="L23" s="184"/>
      <c r="N23"/>
      <c r="O23" s="2"/>
      <c r="P23"/>
      <c r="Q23"/>
      <c r="R23" s="2"/>
      <c r="S23"/>
      <c r="T23"/>
      <c r="U23"/>
      <c r="V23"/>
      <c r="W23"/>
      <c r="X23"/>
      <c r="Y23"/>
      <c r="Z23"/>
    </row>
    <row r="24" spans="1:26" ht="24" customHeight="1" x14ac:dyDescent="0.25">
      <c r="A24" s="189"/>
      <c r="B24" s="189"/>
      <c r="C24" s="189"/>
      <c r="D24" s="189"/>
      <c r="F24" s="6"/>
      <c r="G24" s="6"/>
      <c r="H24" s="6"/>
      <c r="I24" s="6"/>
      <c r="J24" s="185"/>
      <c r="K24" s="186"/>
      <c r="L24" s="187"/>
      <c r="N24"/>
      <c r="O24" s="2"/>
      <c r="P24"/>
      <c r="Q24"/>
      <c r="R24" s="2"/>
      <c r="S24"/>
      <c r="T24"/>
      <c r="U24"/>
      <c r="V24"/>
      <c r="W24"/>
      <c r="X24"/>
      <c r="Y24"/>
      <c r="Z24"/>
    </row>
    <row r="25" spans="1:26" ht="20.100000000000001" customHeight="1" x14ac:dyDescent="0.25">
      <c r="N25"/>
      <c r="O25" s="2"/>
      <c r="P25"/>
      <c r="Q25"/>
      <c r="R25" s="2"/>
      <c r="S25"/>
      <c r="T25"/>
      <c r="U25"/>
      <c r="V25"/>
      <c r="W25"/>
      <c r="X25"/>
      <c r="Y25"/>
      <c r="Z25"/>
    </row>
    <row r="26" spans="1:26" ht="20.100000000000001" customHeight="1" x14ac:dyDescent="0.25">
      <c r="N26"/>
      <c r="O26" s="2"/>
      <c r="P26"/>
      <c r="Q26"/>
      <c r="R26" s="2"/>
      <c r="S26"/>
      <c r="T26"/>
      <c r="U26"/>
      <c r="V26"/>
      <c r="W26"/>
      <c r="X26"/>
      <c r="Y26"/>
      <c r="Z26"/>
    </row>
    <row r="27" spans="1:26" ht="24" customHeight="1" x14ac:dyDescent="0.25">
      <c r="A27" s="163" t="s">
        <v>74</v>
      </c>
      <c r="B27" s="163"/>
      <c r="C27" s="163"/>
      <c r="D27" s="163"/>
      <c r="E27" s="5"/>
      <c r="F27" s="5"/>
      <c r="G27" s="5"/>
      <c r="H27" s="5"/>
      <c r="I27" s="5"/>
      <c r="J27" s="5"/>
      <c r="K27" s="5"/>
      <c r="L27" s="5"/>
      <c r="N27"/>
      <c r="O27" s="2"/>
      <c r="P27"/>
      <c r="Q27"/>
      <c r="R27" s="2"/>
      <c r="S27"/>
      <c r="T27"/>
      <c r="U27"/>
      <c r="V27"/>
      <c r="W27"/>
      <c r="X27"/>
      <c r="Y27"/>
      <c r="Z27"/>
    </row>
    <row r="28" spans="1:26" ht="20.100000000000001" customHeight="1" x14ac:dyDescent="0.25">
      <c r="A28" s="12" t="s">
        <v>4</v>
      </c>
      <c r="B28" s="12" t="s">
        <v>6</v>
      </c>
      <c r="C28" s="7"/>
      <c r="D28" s="7"/>
      <c r="E28" s="7"/>
      <c r="F28" s="7"/>
      <c r="G28" s="7"/>
      <c r="H28" s="7"/>
      <c r="I28" s="7"/>
      <c r="J28" s="7"/>
      <c r="K28" s="7"/>
      <c r="L28" s="7"/>
      <c r="N28"/>
      <c r="O28" s="2"/>
      <c r="P28"/>
      <c r="Q28"/>
      <c r="R28" s="2"/>
      <c r="S28"/>
      <c r="T28"/>
      <c r="U28"/>
      <c r="V28"/>
      <c r="W28"/>
      <c r="X28"/>
      <c r="Y28"/>
      <c r="Z28"/>
    </row>
    <row r="29" spans="1:26" ht="20.100000000000001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N29"/>
      <c r="O29" s="2"/>
      <c r="P29"/>
      <c r="Q29"/>
      <c r="R29" s="2"/>
      <c r="S29"/>
      <c r="T29"/>
      <c r="U29"/>
      <c r="V29"/>
      <c r="W29"/>
      <c r="X29"/>
      <c r="Y29"/>
      <c r="Z29"/>
    </row>
    <row r="30" spans="1:26" ht="20.100000000000001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N30"/>
      <c r="O30" s="2"/>
      <c r="P30"/>
      <c r="Q30"/>
      <c r="R30" s="2"/>
      <c r="S30"/>
      <c r="T30"/>
      <c r="U30"/>
      <c r="V30"/>
      <c r="W30"/>
      <c r="X30"/>
      <c r="Y30"/>
      <c r="Z30"/>
    </row>
    <row r="31" spans="1:26" ht="20.100000000000001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N31"/>
      <c r="O31" s="2"/>
      <c r="P31"/>
      <c r="Q31"/>
      <c r="R31" s="2"/>
      <c r="S31"/>
      <c r="T31"/>
      <c r="U31"/>
      <c r="V31"/>
      <c r="W31"/>
      <c r="X31"/>
      <c r="Y31"/>
      <c r="Z31"/>
    </row>
    <row r="32" spans="1:26" ht="20.100000000000001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N32"/>
      <c r="O32" s="2"/>
      <c r="P32"/>
      <c r="Q32"/>
      <c r="R32" s="2"/>
      <c r="S32"/>
      <c r="T32"/>
      <c r="U32"/>
      <c r="V32"/>
      <c r="W32"/>
      <c r="X32"/>
      <c r="Y32"/>
      <c r="Z32"/>
    </row>
    <row r="33" spans="1:26" ht="20.100000000000001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N33"/>
      <c r="O33" s="2"/>
      <c r="P33"/>
      <c r="Q33"/>
      <c r="R33" s="2"/>
      <c r="S33"/>
      <c r="T33"/>
      <c r="U33"/>
      <c r="V33"/>
      <c r="W33"/>
      <c r="X33"/>
      <c r="Y33"/>
      <c r="Z33"/>
    </row>
    <row r="34" spans="1:26" ht="20.100000000000001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N34"/>
      <c r="O34" s="2"/>
      <c r="P34"/>
      <c r="Q34"/>
      <c r="R34" s="2"/>
      <c r="S34"/>
      <c r="T34"/>
      <c r="U34"/>
      <c r="V34"/>
      <c r="W34"/>
      <c r="X34"/>
      <c r="Y34"/>
      <c r="Z34"/>
    </row>
    <row r="35" spans="1:26" ht="20.100000000000001" customHeight="1" x14ac:dyDescent="0.25">
      <c r="N35"/>
      <c r="O35" s="2"/>
      <c r="P35"/>
      <c r="Q35"/>
      <c r="R35" s="2"/>
      <c r="S35"/>
      <c r="T35"/>
      <c r="U35"/>
      <c r="V35"/>
      <c r="W35"/>
      <c r="X35"/>
      <c r="Y35"/>
      <c r="Z35"/>
    </row>
    <row r="36" spans="1:26" ht="20.100000000000001" customHeigh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N36"/>
      <c r="O36" s="2"/>
      <c r="P36"/>
      <c r="Q36"/>
      <c r="R36" s="2"/>
      <c r="S36"/>
      <c r="T36"/>
      <c r="U36"/>
      <c r="V36"/>
      <c r="W36"/>
      <c r="X36"/>
      <c r="Y36"/>
      <c r="Z36"/>
    </row>
    <row r="37" spans="1:26" ht="20.100000000000001" customHeight="1" x14ac:dyDescent="0.25">
      <c r="N37"/>
      <c r="O37" s="2"/>
      <c r="P37"/>
      <c r="Q37"/>
      <c r="R37" s="2"/>
      <c r="S37"/>
      <c r="T37"/>
      <c r="U37"/>
      <c r="V37"/>
      <c r="W37"/>
      <c r="X37"/>
      <c r="Y37"/>
      <c r="Z37"/>
    </row>
    <row r="38" spans="1:26" ht="20.100000000000001" customHeight="1" x14ac:dyDescent="0.25">
      <c r="N38"/>
      <c r="O38" s="2"/>
      <c r="P38"/>
      <c r="Q38"/>
      <c r="R38" s="2"/>
      <c r="S38"/>
      <c r="T38"/>
      <c r="U38"/>
      <c r="V38"/>
      <c r="W38"/>
      <c r="X38"/>
      <c r="Y38"/>
      <c r="Z38"/>
    </row>
    <row r="39" spans="1:26" ht="20.100000000000001" customHeight="1" x14ac:dyDescent="0.25">
      <c r="N39"/>
      <c r="O39" s="2"/>
      <c r="P39"/>
      <c r="Q39"/>
      <c r="R39" s="2"/>
      <c r="S39"/>
      <c r="T39"/>
      <c r="U39"/>
      <c r="V39"/>
      <c r="W39"/>
      <c r="X39"/>
      <c r="Y39"/>
      <c r="Z39"/>
    </row>
    <row r="40" spans="1:26" ht="20.100000000000001" customHeight="1" x14ac:dyDescent="0.25">
      <c r="N40"/>
      <c r="O40" s="2"/>
      <c r="P40"/>
      <c r="Q40"/>
      <c r="R40" s="2"/>
      <c r="S40"/>
      <c r="T40"/>
      <c r="U40"/>
      <c r="V40"/>
      <c r="W40"/>
      <c r="X40"/>
      <c r="Y40"/>
      <c r="Z40"/>
    </row>
    <row r="41" spans="1:26" ht="20.100000000000001" customHeight="1" x14ac:dyDescent="0.25">
      <c r="N41"/>
      <c r="O41" s="2"/>
      <c r="P41"/>
      <c r="Q41"/>
      <c r="R41" s="2"/>
      <c r="S41"/>
      <c r="T41"/>
      <c r="U41"/>
      <c r="V41"/>
      <c r="W41"/>
      <c r="X41"/>
      <c r="Y41"/>
      <c r="Z41"/>
    </row>
    <row r="42" spans="1:26" ht="20.100000000000001" customHeight="1" x14ac:dyDescent="0.25">
      <c r="N42"/>
      <c r="O42" s="2"/>
      <c r="P42"/>
      <c r="Q42"/>
      <c r="R42" s="2"/>
      <c r="S42"/>
      <c r="T42"/>
      <c r="U42"/>
      <c r="V42"/>
      <c r="W42"/>
      <c r="X42"/>
      <c r="Y42"/>
      <c r="Z42"/>
    </row>
    <row r="43" spans="1:26" ht="20.100000000000001" customHeight="1" x14ac:dyDescent="0.25">
      <c r="N43"/>
      <c r="O43" s="2"/>
      <c r="P43"/>
      <c r="Q43"/>
      <c r="R43" s="2"/>
      <c r="S43"/>
      <c r="T43"/>
      <c r="U43"/>
      <c r="V43"/>
      <c r="W43"/>
      <c r="X43"/>
      <c r="Y43"/>
      <c r="Z43"/>
    </row>
    <row r="44" spans="1:26" ht="20.100000000000001" customHeight="1" x14ac:dyDescent="0.25">
      <c r="N44"/>
      <c r="O44" s="2"/>
      <c r="P44"/>
      <c r="Q44"/>
      <c r="R44" s="2"/>
      <c r="S44"/>
      <c r="T44"/>
      <c r="U44"/>
      <c r="V44"/>
      <c r="W44"/>
      <c r="X44"/>
      <c r="Y44"/>
      <c r="Z44"/>
    </row>
    <row r="45" spans="1:26" ht="20.100000000000001" customHeight="1" x14ac:dyDescent="0.25">
      <c r="N45"/>
      <c r="O45" s="2"/>
      <c r="P45"/>
      <c r="Q45"/>
      <c r="R45" s="2"/>
      <c r="S45"/>
      <c r="T45"/>
      <c r="U45"/>
      <c r="V45"/>
      <c r="W45"/>
      <c r="X45"/>
      <c r="Y45"/>
      <c r="Z45"/>
    </row>
    <row r="46" spans="1:26" ht="20.100000000000001" customHeight="1" x14ac:dyDescent="0.25">
      <c r="N46"/>
      <c r="O46" s="2"/>
      <c r="P46"/>
      <c r="Q46"/>
      <c r="R46" s="2"/>
      <c r="S46"/>
      <c r="T46"/>
      <c r="U46"/>
      <c r="V46"/>
      <c r="W46"/>
      <c r="X46"/>
      <c r="Y46"/>
      <c r="Z46"/>
    </row>
    <row r="47" spans="1:26" ht="20.100000000000001" customHeight="1" x14ac:dyDescent="0.25">
      <c r="N47"/>
      <c r="O47" s="2"/>
      <c r="P47"/>
      <c r="Q47"/>
      <c r="R47" s="2"/>
      <c r="S47"/>
      <c r="T47"/>
      <c r="U47"/>
      <c r="V47"/>
      <c r="W47"/>
      <c r="X47"/>
      <c r="Y47"/>
      <c r="Z47"/>
    </row>
    <row r="48" spans="1:26" ht="20.100000000000001" customHeight="1" x14ac:dyDescent="0.25">
      <c r="N48"/>
      <c r="O48" s="2"/>
      <c r="P48"/>
      <c r="Q48"/>
      <c r="R48" s="2"/>
      <c r="S48"/>
      <c r="T48"/>
      <c r="U48"/>
      <c r="V48"/>
      <c r="W48"/>
      <c r="X48"/>
      <c r="Y48"/>
      <c r="Z48"/>
    </row>
    <row r="49" spans="14:26" ht="20.100000000000001" customHeight="1" x14ac:dyDescent="0.25">
      <c r="N49"/>
      <c r="O49" s="2"/>
      <c r="P49"/>
      <c r="Q49"/>
      <c r="R49" s="2"/>
      <c r="S49"/>
      <c r="T49"/>
      <c r="U49"/>
      <c r="V49"/>
      <c r="W49"/>
      <c r="X49"/>
      <c r="Y49"/>
      <c r="Z49"/>
    </row>
    <row r="50" spans="14:26" ht="20.100000000000001" customHeight="1" x14ac:dyDescent="0.25">
      <c r="N50"/>
      <c r="O50" s="2"/>
      <c r="P50"/>
      <c r="Q50"/>
      <c r="R50" s="2"/>
      <c r="S50"/>
      <c r="T50"/>
      <c r="U50"/>
      <c r="V50"/>
      <c r="W50"/>
      <c r="X50"/>
      <c r="Y50"/>
      <c r="Z50"/>
    </row>
    <row r="51" spans="14:26" ht="20.100000000000001" customHeight="1" x14ac:dyDescent="0.25">
      <c r="N51"/>
      <c r="O51" s="2"/>
      <c r="P51"/>
      <c r="Q51"/>
      <c r="R51" s="2"/>
      <c r="S51"/>
      <c r="T51"/>
      <c r="U51"/>
      <c r="V51"/>
      <c r="W51"/>
      <c r="X51"/>
      <c r="Y51"/>
      <c r="Z51"/>
    </row>
    <row r="52" spans="14:26" ht="20.100000000000001" customHeight="1" x14ac:dyDescent="0.25">
      <c r="N52"/>
      <c r="O52" s="2"/>
      <c r="P52"/>
      <c r="Q52"/>
      <c r="R52" s="2"/>
      <c r="S52"/>
      <c r="T52"/>
      <c r="U52"/>
      <c r="V52"/>
      <c r="W52"/>
      <c r="X52"/>
      <c r="Y52"/>
      <c r="Z52"/>
    </row>
    <row r="53" spans="14:26" ht="20.100000000000001" customHeight="1" x14ac:dyDescent="0.25">
      <c r="N53"/>
      <c r="O53" s="2"/>
      <c r="P53"/>
      <c r="Q53"/>
      <c r="R53" s="2"/>
      <c r="S53"/>
      <c r="T53"/>
      <c r="U53"/>
      <c r="V53"/>
      <c r="W53"/>
      <c r="X53"/>
      <c r="Y53"/>
      <c r="Z53"/>
    </row>
    <row r="54" spans="14:26" ht="20.100000000000001" customHeight="1" x14ac:dyDescent="0.25">
      <c r="N54"/>
      <c r="O54" s="2"/>
      <c r="P54"/>
      <c r="Q54"/>
      <c r="R54" s="2"/>
      <c r="S54"/>
      <c r="T54"/>
      <c r="U54"/>
      <c r="V54"/>
      <c r="W54"/>
      <c r="X54"/>
      <c r="Y54"/>
      <c r="Z54"/>
    </row>
    <row r="55" spans="14:26" ht="20.100000000000001" customHeight="1" x14ac:dyDescent="0.25">
      <c r="N55"/>
      <c r="O55" s="2"/>
      <c r="P55"/>
      <c r="Q55"/>
      <c r="R55" s="2"/>
      <c r="S55"/>
      <c r="T55"/>
      <c r="U55"/>
      <c r="V55"/>
      <c r="W55"/>
      <c r="X55"/>
      <c r="Y55"/>
      <c r="Z55"/>
    </row>
    <row r="56" spans="14:26" ht="20.100000000000001" customHeight="1" x14ac:dyDescent="0.25">
      <c r="N56"/>
      <c r="O56" s="2"/>
      <c r="P56"/>
      <c r="Q56"/>
      <c r="R56" s="2"/>
      <c r="S56"/>
      <c r="T56"/>
      <c r="U56"/>
      <c r="V56"/>
      <c r="W56"/>
      <c r="X56"/>
      <c r="Y56"/>
      <c r="Z56"/>
    </row>
    <row r="57" spans="14:26" ht="20.100000000000001" customHeight="1" x14ac:dyDescent="0.25">
      <c r="N57"/>
      <c r="O57" s="2"/>
      <c r="P57"/>
      <c r="Q57"/>
      <c r="R57" s="2"/>
      <c r="S57"/>
      <c r="T57"/>
      <c r="U57"/>
      <c r="V57"/>
      <c r="W57"/>
      <c r="X57"/>
      <c r="Y57"/>
      <c r="Z57"/>
    </row>
    <row r="58" spans="14:26" ht="20.100000000000001" customHeight="1" x14ac:dyDescent="0.25">
      <c r="N58"/>
      <c r="O58" s="2"/>
      <c r="P58"/>
      <c r="Q58"/>
      <c r="R58" s="2"/>
      <c r="S58"/>
      <c r="T58"/>
      <c r="U58"/>
      <c r="V58"/>
      <c r="W58"/>
      <c r="X58"/>
      <c r="Y58"/>
      <c r="Z58"/>
    </row>
    <row r="59" spans="14:26" ht="20.100000000000001" customHeight="1" x14ac:dyDescent="0.25">
      <c r="N59"/>
      <c r="O59" s="2"/>
      <c r="P59"/>
      <c r="Q59"/>
      <c r="R59" s="2"/>
      <c r="S59"/>
      <c r="T59"/>
      <c r="U59"/>
      <c r="V59"/>
      <c r="W59"/>
      <c r="X59"/>
      <c r="Y59"/>
      <c r="Z59"/>
    </row>
    <row r="60" spans="14:26" ht="20.100000000000001" customHeight="1" x14ac:dyDescent="0.25">
      <c r="N60"/>
      <c r="O60" s="2"/>
      <c r="P60"/>
      <c r="Q60"/>
      <c r="R60" s="2"/>
      <c r="S60"/>
      <c r="T60"/>
      <c r="U60"/>
      <c r="V60"/>
      <c r="W60"/>
      <c r="X60"/>
      <c r="Y60"/>
      <c r="Z60"/>
    </row>
    <row r="61" spans="14:26" ht="20.100000000000001" customHeight="1" x14ac:dyDescent="0.25">
      <c r="N61"/>
      <c r="O61" s="2"/>
      <c r="P61"/>
      <c r="Q61"/>
      <c r="R61" s="2"/>
      <c r="S61"/>
      <c r="T61"/>
      <c r="U61"/>
      <c r="V61"/>
      <c r="W61"/>
      <c r="X61"/>
      <c r="Y61"/>
      <c r="Z61"/>
    </row>
    <row r="62" spans="14:26" ht="20.100000000000001" customHeight="1" x14ac:dyDescent="0.25">
      <c r="N62"/>
      <c r="O62" s="2"/>
      <c r="P62"/>
      <c r="Q62"/>
      <c r="R62" s="2"/>
      <c r="S62"/>
      <c r="T62"/>
      <c r="U62"/>
      <c r="V62"/>
      <c r="W62"/>
      <c r="X62"/>
      <c r="Y62"/>
      <c r="Z62"/>
    </row>
    <row r="63" spans="14:26" ht="20.100000000000001" customHeight="1" x14ac:dyDescent="0.25">
      <c r="N63"/>
      <c r="O63" s="2"/>
      <c r="P63"/>
      <c r="Q63"/>
      <c r="R63" s="2"/>
      <c r="S63"/>
      <c r="T63"/>
      <c r="U63"/>
      <c r="V63"/>
      <c r="W63"/>
      <c r="X63"/>
      <c r="Y63"/>
      <c r="Z63"/>
    </row>
    <row r="64" spans="14:26" ht="20.100000000000001" customHeight="1" x14ac:dyDescent="0.25">
      <c r="N64"/>
      <c r="O64" s="2"/>
      <c r="P64"/>
      <c r="Q64"/>
      <c r="R64" s="2"/>
      <c r="S64"/>
      <c r="T64"/>
      <c r="U64"/>
      <c r="V64"/>
      <c r="W64"/>
      <c r="X64"/>
      <c r="Y64"/>
      <c r="Z64"/>
    </row>
    <row r="65" spans="14:26" ht="20.100000000000001" customHeight="1" x14ac:dyDescent="0.25">
      <c r="N65"/>
      <c r="O65" s="2"/>
      <c r="P65"/>
      <c r="Q65"/>
      <c r="R65" s="2"/>
      <c r="S65"/>
      <c r="T65"/>
      <c r="U65"/>
      <c r="V65"/>
      <c r="W65"/>
      <c r="X65"/>
      <c r="Y65"/>
      <c r="Z65"/>
    </row>
    <row r="66" spans="14:26" ht="20.100000000000001" customHeight="1" x14ac:dyDescent="0.25">
      <c r="N66"/>
      <c r="O66" s="2"/>
      <c r="P66"/>
      <c r="Q66"/>
      <c r="R66" s="2"/>
      <c r="S66"/>
      <c r="T66"/>
      <c r="U66"/>
      <c r="V66"/>
      <c r="W66"/>
      <c r="X66"/>
      <c r="Y66"/>
      <c r="Z66"/>
    </row>
    <row r="67" spans="14:26" ht="20.100000000000001" customHeight="1" x14ac:dyDescent="0.25">
      <c r="N67"/>
      <c r="O67" s="2"/>
      <c r="P67"/>
      <c r="Q67"/>
      <c r="R67" s="2"/>
      <c r="S67"/>
      <c r="T67"/>
      <c r="U67"/>
      <c r="V67"/>
      <c r="W67"/>
      <c r="X67"/>
      <c r="Y67"/>
      <c r="Z67"/>
    </row>
    <row r="68" spans="14:26" ht="20.100000000000001" customHeight="1" x14ac:dyDescent="0.25">
      <c r="N68"/>
      <c r="O68" s="2"/>
      <c r="P68"/>
      <c r="Q68"/>
      <c r="R68" s="2"/>
      <c r="S68"/>
      <c r="T68"/>
      <c r="U68"/>
      <c r="V68"/>
      <c r="W68"/>
      <c r="X68"/>
      <c r="Y68"/>
      <c r="Z68"/>
    </row>
    <row r="69" spans="14:26" ht="20.100000000000001" customHeight="1" x14ac:dyDescent="0.25">
      <c r="N69"/>
      <c r="O69" s="2"/>
      <c r="P69"/>
      <c r="Q69"/>
      <c r="R69" s="2"/>
      <c r="S69"/>
      <c r="T69"/>
      <c r="U69"/>
      <c r="V69"/>
      <c r="W69"/>
      <c r="X69"/>
      <c r="Y69"/>
      <c r="Z69"/>
    </row>
    <row r="70" spans="14:26" ht="20.100000000000001" customHeight="1" x14ac:dyDescent="0.25">
      <c r="N70"/>
      <c r="O70" s="2"/>
      <c r="P70"/>
      <c r="Q70"/>
      <c r="R70" s="2"/>
      <c r="S70"/>
      <c r="T70"/>
      <c r="U70"/>
      <c r="V70"/>
      <c r="W70"/>
      <c r="X70"/>
      <c r="Y70"/>
      <c r="Z70"/>
    </row>
    <row r="71" spans="14:26" ht="20.100000000000001" customHeight="1" x14ac:dyDescent="0.25">
      <c r="N71"/>
      <c r="O71" s="2"/>
      <c r="P71"/>
      <c r="Q71"/>
      <c r="R71" s="2"/>
      <c r="S71"/>
      <c r="T71"/>
      <c r="U71"/>
      <c r="V71"/>
      <c r="W71"/>
      <c r="X71"/>
      <c r="Y71"/>
      <c r="Z71"/>
    </row>
    <row r="72" spans="14:26" ht="20.100000000000001" customHeight="1" x14ac:dyDescent="0.25">
      <c r="N72"/>
      <c r="O72" s="2"/>
      <c r="P72"/>
      <c r="Q72"/>
      <c r="R72" s="2"/>
      <c r="S72"/>
      <c r="T72"/>
      <c r="U72"/>
      <c r="V72"/>
      <c r="W72"/>
      <c r="X72"/>
      <c r="Y72"/>
      <c r="Z72"/>
    </row>
    <row r="73" spans="14:26" ht="20.100000000000001" customHeight="1" x14ac:dyDescent="0.25">
      <c r="N73"/>
      <c r="O73" s="2"/>
      <c r="P73"/>
      <c r="Q73"/>
      <c r="R73" s="2"/>
      <c r="S73"/>
      <c r="T73"/>
      <c r="U73"/>
      <c r="V73"/>
      <c r="W73"/>
      <c r="X73"/>
      <c r="Y73"/>
      <c r="Z73"/>
    </row>
    <row r="74" spans="14:26" ht="20.100000000000001" customHeight="1" x14ac:dyDescent="0.25">
      <c r="N74"/>
      <c r="O74" s="2"/>
      <c r="P74"/>
      <c r="Q74"/>
      <c r="R74" s="2"/>
      <c r="S74"/>
      <c r="T74"/>
      <c r="U74"/>
      <c r="V74"/>
      <c r="W74"/>
      <c r="X74"/>
      <c r="Y74"/>
      <c r="Z74"/>
    </row>
    <row r="75" spans="14:26" ht="20.100000000000001" customHeight="1" x14ac:dyDescent="0.25">
      <c r="N75"/>
      <c r="O75" s="2"/>
      <c r="P75"/>
      <c r="Q75"/>
      <c r="R75" s="2"/>
      <c r="S75"/>
      <c r="T75"/>
      <c r="U75"/>
      <c r="V75"/>
      <c r="W75"/>
      <c r="X75"/>
      <c r="Y75"/>
      <c r="Z75"/>
    </row>
    <row r="76" spans="14:26" ht="20.100000000000001" customHeight="1" x14ac:dyDescent="0.25">
      <c r="N76"/>
      <c r="O76" s="2"/>
      <c r="P76"/>
      <c r="Q76"/>
      <c r="R76" s="2"/>
      <c r="S76"/>
      <c r="T76"/>
      <c r="U76"/>
      <c r="V76"/>
      <c r="W76"/>
      <c r="X76"/>
      <c r="Y76"/>
      <c r="Z76"/>
    </row>
    <row r="77" spans="14:26" ht="20.100000000000001" customHeight="1" x14ac:dyDescent="0.25">
      <c r="N77"/>
      <c r="O77" s="2"/>
      <c r="P77"/>
      <c r="Q77"/>
      <c r="R77" s="2"/>
      <c r="S77"/>
      <c r="T77"/>
      <c r="U77"/>
      <c r="V77"/>
      <c r="W77"/>
      <c r="X77"/>
      <c r="Y77"/>
      <c r="Z77"/>
    </row>
    <row r="78" spans="14:26" ht="20.100000000000001" customHeight="1" x14ac:dyDescent="0.25">
      <c r="N78"/>
      <c r="O78" s="2"/>
      <c r="P78"/>
      <c r="Q78"/>
      <c r="R78" s="2"/>
      <c r="S78"/>
      <c r="T78"/>
      <c r="U78"/>
      <c r="V78"/>
      <c r="W78"/>
      <c r="X78"/>
      <c r="Y78"/>
      <c r="Z78"/>
    </row>
    <row r="79" spans="14:26" ht="20.100000000000001" customHeight="1" x14ac:dyDescent="0.25">
      <c r="N79"/>
      <c r="O79" s="2"/>
      <c r="P79"/>
      <c r="Q79"/>
      <c r="R79" s="2"/>
      <c r="S79"/>
      <c r="T79"/>
      <c r="U79"/>
      <c r="V79"/>
      <c r="W79"/>
      <c r="X79"/>
      <c r="Y79"/>
      <c r="Z79"/>
    </row>
    <row r="80" spans="14:26" ht="20.100000000000001" customHeight="1" x14ac:dyDescent="0.25">
      <c r="N80"/>
      <c r="O80" s="2"/>
      <c r="P80"/>
      <c r="Q80"/>
      <c r="R80" s="2"/>
      <c r="S80"/>
      <c r="T80"/>
      <c r="U80"/>
      <c r="V80"/>
      <c r="W80"/>
      <c r="X80"/>
      <c r="Y80"/>
      <c r="Z80"/>
    </row>
    <row r="81" spans="14:26" ht="20.100000000000001" customHeight="1" x14ac:dyDescent="0.25">
      <c r="N81"/>
      <c r="O81" s="2"/>
      <c r="P81"/>
      <c r="Q81"/>
      <c r="R81" s="2"/>
      <c r="S81"/>
      <c r="T81"/>
      <c r="U81"/>
      <c r="V81"/>
      <c r="W81"/>
      <c r="X81"/>
      <c r="Y81"/>
      <c r="Z81"/>
    </row>
    <row r="82" spans="14:26" ht="20.100000000000001" customHeight="1" x14ac:dyDescent="0.25">
      <c r="N82"/>
      <c r="O82" s="2"/>
      <c r="P82"/>
      <c r="Q82"/>
      <c r="R82" s="2"/>
      <c r="S82"/>
      <c r="T82"/>
      <c r="U82"/>
      <c r="V82"/>
      <c r="W82"/>
      <c r="X82"/>
      <c r="Y82"/>
      <c r="Z82"/>
    </row>
    <row r="83" spans="14:26" ht="20.100000000000001" customHeight="1" x14ac:dyDescent="0.25">
      <c r="N83"/>
      <c r="O83" s="2"/>
      <c r="P83"/>
      <c r="Q83"/>
      <c r="R83" s="2"/>
      <c r="S83"/>
      <c r="T83"/>
      <c r="U83"/>
      <c r="V83"/>
      <c r="W83"/>
      <c r="X83"/>
      <c r="Y83"/>
      <c r="Z83"/>
    </row>
    <row r="84" spans="14:26" ht="20.100000000000001" customHeight="1" x14ac:dyDescent="0.25">
      <c r="N84"/>
      <c r="O84" s="2"/>
      <c r="P84"/>
      <c r="Q84"/>
      <c r="R84" s="2"/>
      <c r="S84"/>
      <c r="T84"/>
      <c r="U84"/>
      <c r="V84"/>
      <c r="W84"/>
      <c r="X84"/>
      <c r="Y84"/>
      <c r="Z84"/>
    </row>
    <row r="85" spans="14:26" ht="20.100000000000001" customHeight="1" x14ac:dyDescent="0.25">
      <c r="N85"/>
      <c r="O85" s="2"/>
      <c r="P85"/>
      <c r="Q85"/>
      <c r="R85" s="2"/>
      <c r="S85"/>
      <c r="T85"/>
      <c r="U85"/>
      <c r="V85"/>
      <c r="W85"/>
      <c r="X85"/>
      <c r="Y85"/>
      <c r="Z85"/>
    </row>
    <row r="86" spans="14:26" ht="20.100000000000001" customHeight="1" x14ac:dyDescent="0.25">
      <c r="N86"/>
      <c r="O86" s="2"/>
      <c r="P86"/>
      <c r="Q86"/>
      <c r="R86" s="2"/>
      <c r="S86"/>
      <c r="T86"/>
      <c r="U86"/>
      <c r="V86"/>
      <c r="W86"/>
      <c r="X86"/>
      <c r="Y86"/>
      <c r="Z86"/>
    </row>
    <row r="87" spans="14:26" ht="20.100000000000001" customHeight="1" x14ac:dyDescent="0.25">
      <c r="N87"/>
      <c r="O87" s="2"/>
      <c r="P87"/>
      <c r="Q87"/>
      <c r="R87" s="2"/>
      <c r="S87"/>
      <c r="T87"/>
      <c r="U87"/>
      <c r="V87"/>
      <c r="W87"/>
      <c r="X87"/>
      <c r="Y87"/>
      <c r="Z87"/>
    </row>
    <row r="88" spans="14:26" ht="20.100000000000001" customHeight="1" x14ac:dyDescent="0.25">
      <c r="N88"/>
      <c r="O88" s="2"/>
      <c r="P88"/>
      <c r="Q88"/>
      <c r="R88" s="2"/>
      <c r="S88"/>
      <c r="T88"/>
      <c r="U88"/>
      <c r="V88"/>
      <c r="W88"/>
      <c r="X88"/>
      <c r="Y88"/>
      <c r="Z88"/>
    </row>
    <row r="89" spans="14:26" ht="20.100000000000001" customHeight="1" x14ac:dyDescent="0.25">
      <c r="N89"/>
      <c r="O89" s="2"/>
      <c r="P89"/>
      <c r="Q89"/>
      <c r="R89" s="2"/>
      <c r="S89"/>
      <c r="T89"/>
      <c r="U89"/>
      <c r="V89"/>
      <c r="W89"/>
      <c r="X89"/>
      <c r="Y89"/>
      <c r="Z89"/>
    </row>
    <row r="90" spans="14:26" ht="20.100000000000001" customHeight="1" x14ac:dyDescent="0.25">
      <c r="N90"/>
      <c r="O90" s="2"/>
      <c r="P90"/>
      <c r="Q90"/>
      <c r="R90" s="2"/>
      <c r="S90"/>
      <c r="T90"/>
      <c r="U90"/>
      <c r="V90"/>
      <c r="W90"/>
      <c r="X90"/>
      <c r="Y90"/>
      <c r="Z90"/>
    </row>
    <row r="91" spans="14:26" ht="20.100000000000001" customHeight="1" x14ac:dyDescent="0.25">
      <c r="N91"/>
      <c r="O91" s="2"/>
      <c r="P91"/>
      <c r="Q91"/>
      <c r="R91" s="2"/>
      <c r="S91"/>
      <c r="T91"/>
      <c r="U91"/>
      <c r="V91"/>
      <c r="W91"/>
      <c r="X91"/>
      <c r="Y91"/>
      <c r="Z91"/>
    </row>
    <row r="92" spans="14:26" ht="20.100000000000001" customHeight="1" x14ac:dyDescent="0.25">
      <c r="N92"/>
      <c r="O92" s="2"/>
      <c r="P92"/>
      <c r="Q92"/>
      <c r="R92" s="2"/>
      <c r="S92"/>
      <c r="T92"/>
      <c r="U92"/>
      <c r="V92"/>
      <c r="W92"/>
      <c r="X92"/>
      <c r="Y92"/>
      <c r="Z92"/>
    </row>
    <row r="93" spans="14:26" ht="20.100000000000001" customHeight="1" x14ac:dyDescent="0.25">
      <c r="N93"/>
      <c r="O93" s="2"/>
      <c r="P93"/>
      <c r="Q93"/>
      <c r="R93" s="2"/>
      <c r="S93"/>
      <c r="T93"/>
      <c r="U93"/>
      <c r="V93"/>
      <c r="W93"/>
      <c r="X93"/>
      <c r="Y93"/>
      <c r="Z93"/>
    </row>
    <row r="94" spans="14:26" ht="20.100000000000001" customHeight="1" x14ac:dyDescent="0.25">
      <c r="N94"/>
      <c r="O94" s="2"/>
      <c r="P94"/>
      <c r="Q94"/>
      <c r="R94" s="2"/>
      <c r="S94"/>
      <c r="T94"/>
      <c r="U94"/>
      <c r="V94"/>
      <c r="W94"/>
      <c r="X94"/>
      <c r="Y94"/>
      <c r="Z94"/>
    </row>
    <row r="95" spans="14:26" ht="20.100000000000001" customHeight="1" x14ac:dyDescent="0.25">
      <c r="N95"/>
      <c r="O95" s="2"/>
      <c r="P95"/>
      <c r="Q95"/>
      <c r="R95" s="2"/>
      <c r="S95"/>
      <c r="T95"/>
      <c r="U95"/>
      <c r="V95"/>
      <c r="W95"/>
      <c r="X95"/>
      <c r="Y95"/>
      <c r="Z95"/>
    </row>
    <row r="96" spans="14:26" ht="20.100000000000001" customHeight="1" x14ac:dyDescent="0.25">
      <c r="N96"/>
      <c r="O96" s="2"/>
      <c r="P96"/>
      <c r="Q96"/>
      <c r="R96" s="2"/>
      <c r="S96"/>
      <c r="T96"/>
      <c r="U96"/>
      <c r="V96"/>
      <c r="W96"/>
      <c r="X96"/>
      <c r="Y96"/>
      <c r="Z96"/>
    </row>
    <row r="97" spans="14:26" ht="20.100000000000001" customHeight="1" x14ac:dyDescent="0.25">
      <c r="N97"/>
      <c r="O97" s="2"/>
      <c r="P97"/>
      <c r="Q97"/>
      <c r="R97" s="2"/>
      <c r="S97"/>
      <c r="T97"/>
      <c r="U97"/>
      <c r="V97"/>
      <c r="W97"/>
      <c r="X97"/>
      <c r="Y97"/>
      <c r="Z97"/>
    </row>
    <row r="98" spans="14:26" ht="20.100000000000001" customHeight="1" x14ac:dyDescent="0.25">
      <c r="N98"/>
      <c r="O98" s="2"/>
      <c r="P98"/>
      <c r="Q98"/>
      <c r="R98" s="2"/>
      <c r="S98"/>
      <c r="T98"/>
      <c r="U98"/>
      <c r="V98"/>
      <c r="W98"/>
      <c r="X98"/>
      <c r="Y98"/>
      <c r="Z98"/>
    </row>
    <row r="99" spans="14:26" ht="20.100000000000001" customHeight="1" x14ac:dyDescent="0.25">
      <c r="N99"/>
      <c r="O99" s="2"/>
      <c r="P99"/>
      <c r="Q99"/>
      <c r="R99" s="2"/>
      <c r="S99"/>
      <c r="T99"/>
      <c r="U99"/>
      <c r="V99"/>
      <c r="W99"/>
      <c r="X99"/>
      <c r="Y99"/>
      <c r="Z99"/>
    </row>
    <row r="100" spans="14:26" ht="20.100000000000001" customHeight="1" x14ac:dyDescent="0.25">
      <c r="N100"/>
      <c r="O100" s="2"/>
      <c r="P100"/>
      <c r="Q100"/>
      <c r="R100" s="2"/>
      <c r="S100"/>
      <c r="T100"/>
      <c r="U100"/>
      <c r="V100"/>
      <c r="W100"/>
      <c r="X100"/>
      <c r="Y100"/>
      <c r="Z100"/>
    </row>
  </sheetData>
  <mergeCells count="20">
    <mergeCell ref="A1:L1"/>
    <mergeCell ref="A2:L2"/>
    <mergeCell ref="D4:F4"/>
    <mergeCell ref="G4:I4"/>
    <mergeCell ref="J4:L4"/>
    <mergeCell ref="A4:C4"/>
    <mergeCell ref="A5:C6"/>
    <mergeCell ref="D5:F6"/>
    <mergeCell ref="G5:I6"/>
    <mergeCell ref="J5:L6"/>
    <mergeCell ref="A9:D9"/>
    <mergeCell ref="F9:L9"/>
    <mergeCell ref="A27:D27"/>
    <mergeCell ref="J17:L18"/>
    <mergeCell ref="J19:L21"/>
    <mergeCell ref="J22:L22"/>
    <mergeCell ref="J23:L24"/>
    <mergeCell ref="A17:D17"/>
    <mergeCell ref="A18:D24"/>
    <mergeCell ref="F17:I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18C6-924E-49FC-93DA-481072130B36}">
  <sheetPr codeName="Planilha3"/>
  <dimension ref="A1:K9"/>
  <sheetViews>
    <sheetView showGridLines="0" zoomScale="70" zoomScaleNormal="70" workbookViewId="0">
      <selection activeCell="C1" sqref="C1"/>
    </sheetView>
  </sheetViews>
  <sheetFormatPr defaultRowHeight="15" x14ac:dyDescent="0.25"/>
  <cols>
    <col min="1" max="1" width="10.7109375" customWidth="1"/>
    <col min="2" max="2" width="12.7109375" style="57" customWidth="1"/>
    <col min="3" max="3" width="14.7109375" customWidth="1"/>
    <col min="4" max="4" width="20.7109375" customWidth="1"/>
    <col min="5" max="5" width="30.7109375" customWidth="1"/>
    <col min="6" max="6" width="14.7109375" style="2" customWidth="1"/>
    <col min="7" max="7" width="20.7109375" customWidth="1"/>
    <col min="8" max="8" width="22.7109375" customWidth="1"/>
    <col min="9" max="9" width="15.7109375" customWidth="1"/>
    <col min="10" max="10" width="35.7109375" customWidth="1"/>
    <col min="11" max="11" width="20.7109375" style="59" customWidth="1"/>
  </cols>
  <sheetData>
    <row r="1" spans="1:11" x14ac:dyDescent="0.25">
      <c r="A1" t="s">
        <v>1</v>
      </c>
      <c r="B1" s="57" t="s">
        <v>2</v>
      </c>
      <c r="C1" t="s">
        <v>3</v>
      </c>
      <c r="D1" t="s">
        <v>4</v>
      </c>
      <c r="E1" t="s">
        <v>5</v>
      </c>
      <c r="F1" s="2" t="s">
        <v>6</v>
      </c>
      <c r="G1" t="s">
        <v>7</v>
      </c>
      <c r="H1" t="s">
        <v>8</v>
      </c>
      <c r="I1" t="s">
        <v>9</v>
      </c>
      <c r="J1" t="s">
        <v>10</v>
      </c>
      <c r="K1" s="59" t="s">
        <v>11</v>
      </c>
    </row>
    <row r="2" spans="1:11" x14ac:dyDescent="0.25">
      <c r="B2" s="58">
        <v>46285</v>
      </c>
      <c r="C2" t="s">
        <v>17</v>
      </c>
      <c r="D2" t="s">
        <v>16</v>
      </c>
      <c r="E2" t="s">
        <v>61</v>
      </c>
      <c r="F2" s="2">
        <v>3600</v>
      </c>
      <c r="G2" t="s">
        <v>58</v>
      </c>
      <c r="H2" t="s">
        <v>35</v>
      </c>
      <c r="I2" s="1" t="s">
        <v>56</v>
      </c>
      <c r="J2" t="s">
        <v>62</v>
      </c>
    </row>
    <row r="3" spans="1:11" x14ac:dyDescent="0.25">
      <c r="B3" s="58">
        <v>46286</v>
      </c>
      <c r="C3" t="s">
        <v>22</v>
      </c>
      <c r="D3" t="s">
        <v>21</v>
      </c>
      <c r="E3" t="s">
        <v>101</v>
      </c>
      <c r="F3" s="2">
        <v>4000</v>
      </c>
      <c r="G3" t="s">
        <v>58</v>
      </c>
      <c r="H3" t="s">
        <v>35</v>
      </c>
      <c r="I3" s="1" t="s">
        <v>56</v>
      </c>
      <c r="J3" t="s">
        <v>102</v>
      </c>
    </row>
    <row r="4" spans="1:11" x14ac:dyDescent="0.25">
      <c r="B4" s="58">
        <v>46286</v>
      </c>
      <c r="C4" t="s">
        <v>22</v>
      </c>
      <c r="D4" t="s">
        <v>28</v>
      </c>
      <c r="E4" t="s">
        <v>103</v>
      </c>
      <c r="F4" s="2">
        <v>200</v>
      </c>
      <c r="G4" t="s">
        <v>58</v>
      </c>
      <c r="H4" t="s">
        <v>35</v>
      </c>
      <c r="I4" s="1" t="s">
        <v>56</v>
      </c>
      <c r="J4" t="s">
        <v>102</v>
      </c>
    </row>
    <row r="5" spans="1:11" x14ac:dyDescent="0.25">
      <c r="B5" s="58">
        <v>46286</v>
      </c>
      <c r="C5" t="s">
        <v>22</v>
      </c>
      <c r="D5" t="s">
        <v>24</v>
      </c>
      <c r="E5" t="s">
        <v>104</v>
      </c>
      <c r="F5" s="2">
        <v>250</v>
      </c>
      <c r="G5" t="s">
        <v>58</v>
      </c>
      <c r="H5" t="s">
        <v>35</v>
      </c>
      <c r="I5" s="1" t="s">
        <v>56</v>
      </c>
      <c r="J5" t="s">
        <v>102</v>
      </c>
    </row>
    <row r="6" spans="1:11" x14ac:dyDescent="0.25">
      <c r="B6" s="58">
        <v>46254</v>
      </c>
      <c r="C6" t="s">
        <v>17</v>
      </c>
      <c r="D6" t="s">
        <v>16</v>
      </c>
      <c r="E6" t="s">
        <v>116</v>
      </c>
      <c r="F6" s="2">
        <v>3600</v>
      </c>
      <c r="G6" t="s">
        <v>58</v>
      </c>
      <c r="H6" t="s">
        <v>35</v>
      </c>
      <c r="I6" s="1" t="s">
        <v>56</v>
      </c>
      <c r="J6" t="s">
        <v>102</v>
      </c>
    </row>
    <row r="9" spans="1:11" x14ac:dyDescent="0.25">
      <c r="H9" s="1"/>
    </row>
  </sheetData>
  <dataValidations count="5">
    <dataValidation type="list" allowBlank="1" showInputMessage="1" showErrorMessage="1" errorTitle="Valor inválido" error="Selecione uma opção da lista." promptTitle="Tipo de lançamento" prompt="Selecione Receita ou Despesa." sqref="C2:C1000" xr:uid="{A6AA45D2-9818-4BF9-84D1-0C1C3D7D5121}">
      <formula1>nmTiposLancamento</formula1>
    </dataValidation>
    <dataValidation type="list" allowBlank="1" showInputMessage="1" showErrorMessage="1" errorTitle="Valor inválido" error="Selecione uma opção da lista." promptTitle="Categoria" prompt="Selecione uma categoria cadastrada." sqref="D2:D1000" xr:uid="{CBA147C8-D887-4BCF-870E-2424B09DE4D5}">
      <formula1>nmCategorias</formula1>
    </dataValidation>
    <dataValidation type="list" allowBlank="1" showInputMessage="1" showErrorMessage="1" errorTitle="Valor inválido" error="Selecione uma opção da lista." promptTitle="Conta" prompt="Selecione uma conta cadastrada." sqref="G2:G1000" xr:uid="{F16DB8F9-3825-49EB-B3B3-09F6A5AAF44D}">
      <formula1>nmContas</formula1>
    </dataValidation>
    <dataValidation type="list" allowBlank="1" showInputMessage="1" showErrorMessage="1" errorTitle="Valor inválido" error="Selecione uma opção da lista." promptTitle="Forma de pagamento" prompt="Selecione uma forma de pagamento." sqref="H2:H1000" xr:uid="{AF46AB6C-3650-40ED-8147-E86E18758E82}">
      <formula1>nmFormasPagamento</formula1>
    </dataValidation>
    <dataValidation type="list" allowBlank="1" showInputMessage="1" showErrorMessage="1" errorTitle="Valor inválido" error="Selecione uma opção da lista." promptTitle="Status" prompt="Selecione Pago ou Pendente." sqref="I2:I1000" xr:uid="{2AEB927C-A6FE-4453-BD56-1FA4F7DC9B6C}">
      <formula1>nmStatusLancamento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EB98-704D-4F78-8783-7721637AA09D}">
  <sheetPr codeName="Planilha4"/>
  <dimension ref="A1:F11"/>
  <sheetViews>
    <sheetView workbookViewId="0">
      <selection activeCell="E3" sqref="E3"/>
    </sheetView>
  </sheetViews>
  <sheetFormatPr defaultRowHeight="15" x14ac:dyDescent="0.25"/>
  <cols>
    <col min="1" max="1" width="10.7109375" customWidth="1"/>
    <col min="2" max="2" width="25.7109375" customWidth="1"/>
    <col min="3" max="3" width="18.7109375" customWidth="1"/>
    <col min="4" max="4" width="25.7109375" customWidth="1"/>
    <col min="5" max="5" width="16.7109375" style="2" customWidth="1"/>
    <col min="6" max="6" width="12.7109375" customWidth="1"/>
  </cols>
  <sheetData>
    <row r="1" spans="1:6" x14ac:dyDescent="0.25">
      <c r="A1" t="s">
        <v>1</v>
      </c>
      <c r="B1" t="s">
        <v>12</v>
      </c>
      <c r="C1" t="s">
        <v>3</v>
      </c>
      <c r="D1" t="s">
        <v>13</v>
      </c>
      <c r="E1" s="2" t="s">
        <v>14</v>
      </c>
      <c r="F1" t="s">
        <v>15</v>
      </c>
    </row>
    <row r="2" spans="1:6" x14ac:dyDescent="0.25">
      <c r="A2">
        <v>1</v>
      </c>
      <c r="B2" t="s">
        <v>58</v>
      </c>
      <c r="C2" t="s">
        <v>59</v>
      </c>
      <c r="D2" t="s">
        <v>60</v>
      </c>
      <c r="E2" s="2">
        <v>4000</v>
      </c>
      <c r="F2" t="s">
        <v>18</v>
      </c>
    </row>
    <row r="11" spans="1:6" x14ac:dyDescent="0.25">
      <c r="E11" s="60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13BA-F376-48CE-B8D8-4846D42D94CF}">
  <sheetPr codeName="Planilha5"/>
  <dimension ref="A1:D13"/>
  <sheetViews>
    <sheetView workbookViewId="0"/>
  </sheetViews>
  <sheetFormatPr defaultRowHeight="15" x14ac:dyDescent="0.25"/>
  <cols>
    <col min="1" max="1" width="10.7109375" customWidth="1"/>
    <col min="2" max="2" width="25.7109375" customWidth="1"/>
    <col min="3" max="3" width="15.7109375" customWidth="1"/>
    <col min="4" max="4" width="12.7109375" customWidth="1"/>
  </cols>
  <sheetData>
    <row r="1" spans="1:4" x14ac:dyDescent="0.25">
      <c r="A1" t="s">
        <v>1</v>
      </c>
      <c r="B1" t="s">
        <v>4</v>
      </c>
      <c r="C1" t="s">
        <v>3</v>
      </c>
      <c r="D1" t="s">
        <v>15</v>
      </c>
    </row>
    <row r="2" spans="1:4" x14ac:dyDescent="0.25">
      <c r="A2">
        <v>1</v>
      </c>
      <c r="B2" t="s">
        <v>16</v>
      </c>
      <c r="C2" t="s">
        <v>17</v>
      </c>
      <c r="D2" t="s">
        <v>18</v>
      </c>
    </row>
    <row r="3" spans="1:4" x14ac:dyDescent="0.25">
      <c r="A3">
        <v>2</v>
      </c>
      <c r="B3" t="s">
        <v>19</v>
      </c>
      <c r="C3" t="s">
        <v>17</v>
      </c>
      <c r="D3" t="s">
        <v>18</v>
      </c>
    </row>
    <row r="4" spans="1:4" x14ac:dyDescent="0.25">
      <c r="A4">
        <v>3</v>
      </c>
      <c r="B4" t="s">
        <v>20</v>
      </c>
      <c r="C4" t="s">
        <v>17</v>
      </c>
      <c r="D4" t="s">
        <v>18</v>
      </c>
    </row>
    <row r="5" spans="1:4" x14ac:dyDescent="0.25">
      <c r="A5">
        <v>4</v>
      </c>
      <c r="B5" t="s">
        <v>21</v>
      </c>
      <c r="C5" t="s">
        <v>22</v>
      </c>
      <c r="D5" t="s">
        <v>18</v>
      </c>
    </row>
    <row r="6" spans="1:4" x14ac:dyDescent="0.25">
      <c r="A6">
        <v>5</v>
      </c>
      <c r="B6" t="s">
        <v>23</v>
      </c>
      <c r="C6" t="s">
        <v>22</v>
      </c>
      <c r="D6" t="s">
        <v>18</v>
      </c>
    </row>
    <row r="7" spans="1:4" x14ac:dyDescent="0.25">
      <c r="A7">
        <v>6</v>
      </c>
      <c r="B7" t="s">
        <v>24</v>
      </c>
      <c r="C7" t="s">
        <v>22</v>
      </c>
      <c r="D7" t="s">
        <v>18</v>
      </c>
    </row>
    <row r="8" spans="1:4" x14ac:dyDescent="0.25">
      <c r="A8">
        <v>7</v>
      </c>
      <c r="B8" t="s">
        <v>25</v>
      </c>
      <c r="C8" t="s">
        <v>22</v>
      </c>
      <c r="D8" t="s">
        <v>18</v>
      </c>
    </row>
    <row r="9" spans="1:4" x14ac:dyDescent="0.25">
      <c r="A9">
        <v>8</v>
      </c>
      <c r="B9" t="s">
        <v>26</v>
      </c>
      <c r="C9" t="s">
        <v>22</v>
      </c>
      <c r="D9" t="s">
        <v>18</v>
      </c>
    </row>
    <row r="10" spans="1:4" x14ac:dyDescent="0.25">
      <c r="A10">
        <v>9</v>
      </c>
      <c r="B10" t="s">
        <v>27</v>
      </c>
      <c r="C10" t="s">
        <v>22</v>
      </c>
      <c r="D10" t="s">
        <v>18</v>
      </c>
    </row>
    <row r="11" spans="1:4" x14ac:dyDescent="0.25">
      <c r="A11">
        <v>10</v>
      </c>
      <c r="B11" t="s">
        <v>28</v>
      </c>
      <c r="C11" t="s">
        <v>22</v>
      </c>
      <c r="D11" t="s">
        <v>18</v>
      </c>
    </row>
    <row r="12" spans="1:4" x14ac:dyDescent="0.25">
      <c r="A12">
        <v>11</v>
      </c>
      <c r="B12" t="s">
        <v>29</v>
      </c>
      <c r="C12" t="s">
        <v>22</v>
      </c>
      <c r="D12" t="s">
        <v>18</v>
      </c>
    </row>
    <row r="13" spans="1:4" x14ac:dyDescent="0.25">
      <c r="A13">
        <v>12</v>
      </c>
      <c r="B13" t="s">
        <v>30</v>
      </c>
      <c r="C13" t="s">
        <v>22</v>
      </c>
      <c r="D13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C428-60D8-4F0E-A5CB-09CD78280773}">
  <sheetPr codeName="Planilha6"/>
  <dimension ref="A1:G2"/>
  <sheetViews>
    <sheetView workbookViewId="0">
      <selection activeCell="F2" sqref="F2"/>
    </sheetView>
  </sheetViews>
  <sheetFormatPr defaultRowHeight="15" x14ac:dyDescent="0.25"/>
  <cols>
    <col min="1" max="1" width="10.7109375" customWidth="1"/>
    <col min="2" max="2" width="30.7109375" customWidth="1"/>
    <col min="3" max="3" width="20.7109375" customWidth="1"/>
    <col min="4" max="5" width="18.7109375" style="2" customWidth="1"/>
    <col min="6" max="6" width="15.7109375" style="57" customWidth="1"/>
    <col min="7" max="7" width="15.7109375" customWidth="1"/>
  </cols>
  <sheetData>
    <row r="1" spans="1:7" x14ac:dyDescent="0.25">
      <c r="A1" t="s">
        <v>1</v>
      </c>
      <c r="B1" t="s">
        <v>31</v>
      </c>
      <c r="C1" t="s">
        <v>4</v>
      </c>
      <c r="D1" s="2" t="s">
        <v>32</v>
      </c>
      <c r="E1" s="2" t="s">
        <v>33</v>
      </c>
      <c r="F1" s="57" t="s">
        <v>34</v>
      </c>
      <c r="G1" t="s">
        <v>9</v>
      </c>
    </row>
    <row r="2" spans="1:7" x14ac:dyDescent="0.25">
      <c r="A2">
        <v>1</v>
      </c>
      <c r="B2" t="s">
        <v>105</v>
      </c>
      <c r="C2" t="s">
        <v>82</v>
      </c>
      <c r="D2" s="2">
        <v>10000</v>
      </c>
      <c r="E2" s="2">
        <v>2500</v>
      </c>
      <c r="F2" s="57">
        <v>46295</v>
      </c>
      <c r="G2" t="s">
        <v>106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17110-7776-4AFD-9511-9CC9C98F11AA}">
  <sheetPr codeName="Planilha7"/>
  <dimension ref="A1:D9"/>
  <sheetViews>
    <sheetView workbookViewId="0"/>
  </sheetViews>
  <sheetFormatPr defaultRowHeight="15" x14ac:dyDescent="0.25"/>
  <cols>
    <col min="1" max="1" width="10.7109375" customWidth="1"/>
    <col min="2" max="2" width="28.7109375" customWidth="1"/>
    <col min="3" max="3" width="18.7109375" customWidth="1"/>
    <col min="4" max="4" width="12.7109375" customWidth="1"/>
  </cols>
  <sheetData>
    <row r="1" spans="1:4" x14ac:dyDescent="0.25">
      <c r="A1" t="s">
        <v>1</v>
      </c>
      <c r="B1" t="s">
        <v>8</v>
      </c>
      <c r="C1" t="s">
        <v>3</v>
      </c>
      <c r="D1" t="s">
        <v>15</v>
      </c>
    </row>
    <row r="2" spans="1:4" x14ac:dyDescent="0.25">
      <c r="A2">
        <v>1</v>
      </c>
      <c r="B2" t="s">
        <v>35</v>
      </c>
      <c r="C2" t="s">
        <v>36</v>
      </c>
      <c r="D2" t="s">
        <v>18</v>
      </c>
    </row>
    <row r="3" spans="1:4" x14ac:dyDescent="0.25">
      <c r="A3">
        <v>2</v>
      </c>
      <c r="B3" t="s">
        <v>37</v>
      </c>
      <c r="C3" t="s">
        <v>38</v>
      </c>
      <c r="D3" t="s">
        <v>18</v>
      </c>
    </row>
    <row r="4" spans="1:4" x14ac:dyDescent="0.25">
      <c r="A4">
        <v>3</v>
      </c>
      <c r="B4" t="s">
        <v>39</v>
      </c>
      <c r="C4" t="s">
        <v>38</v>
      </c>
      <c r="D4" t="s">
        <v>18</v>
      </c>
    </row>
    <row r="5" spans="1:4" x14ac:dyDescent="0.25">
      <c r="A5">
        <v>4</v>
      </c>
      <c r="B5" t="s">
        <v>40</v>
      </c>
      <c r="C5" t="s">
        <v>40</v>
      </c>
      <c r="D5" t="s">
        <v>18</v>
      </c>
    </row>
    <row r="6" spans="1:4" x14ac:dyDescent="0.25">
      <c r="A6">
        <v>5</v>
      </c>
      <c r="B6" t="s">
        <v>41</v>
      </c>
      <c r="C6" t="s">
        <v>36</v>
      </c>
      <c r="D6" t="s">
        <v>18</v>
      </c>
    </row>
    <row r="7" spans="1:4" x14ac:dyDescent="0.25">
      <c r="A7">
        <v>6</v>
      </c>
      <c r="B7" t="s">
        <v>42</v>
      </c>
      <c r="C7" t="s">
        <v>36</v>
      </c>
      <c r="D7" t="s">
        <v>18</v>
      </c>
    </row>
    <row r="8" spans="1:4" x14ac:dyDescent="0.25">
      <c r="A8">
        <v>7</v>
      </c>
      <c r="B8" t="s">
        <v>43</v>
      </c>
      <c r="C8" t="s">
        <v>36</v>
      </c>
      <c r="D8" t="s">
        <v>18</v>
      </c>
    </row>
    <row r="9" spans="1:4" x14ac:dyDescent="0.25">
      <c r="A9">
        <v>8</v>
      </c>
      <c r="B9" t="s">
        <v>30</v>
      </c>
      <c r="C9" t="s">
        <v>30</v>
      </c>
      <c r="D9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36584-2507-4618-9710-17ED63AEE76C}">
  <sheetPr codeName="Planilha8"/>
  <dimension ref="A1:E6"/>
  <sheetViews>
    <sheetView workbookViewId="0"/>
  </sheetViews>
  <sheetFormatPr defaultRowHeight="15" x14ac:dyDescent="0.25"/>
  <cols>
    <col min="1" max="1" width="30.7109375" customWidth="1"/>
    <col min="2" max="2" width="35.7109375" customWidth="1"/>
    <col min="4" max="5" width="0" hidden="1" customWidth="1"/>
  </cols>
  <sheetData>
    <row r="1" spans="1:5" x14ac:dyDescent="0.25">
      <c r="A1" t="s">
        <v>44</v>
      </c>
      <c r="B1" t="s">
        <v>6</v>
      </c>
      <c r="D1" t="s">
        <v>54</v>
      </c>
      <c r="E1" t="s">
        <v>55</v>
      </c>
    </row>
    <row r="2" spans="1:5" x14ac:dyDescent="0.25">
      <c r="A2" t="s">
        <v>45</v>
      </c>
      <c r="B2" t="s">
        <v>46</v>
      </c>
      <c r="D2" t="s">
        <v>17</v>
      </c>
      <c r="E2" t="s">
        <v>56</v>
      </c>
    </row>
    <row r="3" spans="1:5" x14ac:dyDescent="0.25">
      <c r="A3" t="s">
        <v>47</v>
      </c>
      <c r="B3" t="s">
        <v>48</v>
      </c>
      <c r="D3" t="s">
        <v>22</v>
      </c>
      <c r="E3" t="s">
        <v>57</v>
      </c>
    </row>
    <row r="4" spans="1:5" x14ac:dyDescent="0.25">
      <c r="A4" t="s">
        <v>49</v>
      </c>
      <c r="B4" t="s">
        <v>50</v>
      </c>
    </row>
    <row r="5" spans="1:5" x14ac:dyDescent="0.25">
      <c r="A5" t="s">
        <v>51</v>
      </c>
      <c r="B5" t="s">
        <v>63</v>
      </c>
    </row>
    <row r="6" spans="1:5" x14ac:dyDescent="0.25">
      <c r="A6" t="s">
        <v>52</v>
      </c>
      <c r="B6" t="s">
        <v>53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Dashboard_V2</vt:lpstr>
      <vt:lpstr>Dashboard</vt:lpstr>
      <vt:lpstr>Lançamentos</vt:lpstr>
      <vt:lpstr>Contas</vt:lpstr>
      <vt:lpstr>Categorias</vt:lpstr>
      <vt:lpstr>Metas</vt:lpstr>
      <vt:lpstr>FormasPagamento</vt:lpstr>
      <vt:lpstr>Configurações</vt:lpstr>
      <vt:lpstr>nmCategorias</vt:lpstr>
      <vt:lpstr>nmContas</vt:lpstr>
      <vt:lpstr>nmFormasPagamento</vt:lpstr>
      <vt:lpstr>nmStatusLancamento</vt:lpstr>
      <vt:lpstr>nmTiposLancamento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Felix Lacerda</dc:creator>
  <cp:lastModifiedBy>Adriano Felix Lacerda</cp:lastModifiedBy>
  <dcterms:created xsi:type="dcterms:W3CDTF">2026-09-20T00:08:49Z</dcterms:created>
  <dcterms:modified xsi:type="dcterms:W3CDTF">2026-09-24T11:42:45Z</dcterms:modified>
</cp:coreProperties>
</file>