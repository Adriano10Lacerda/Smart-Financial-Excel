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projetos\Smart-Financial-Excel\Excel\"/>
    </mc:Choice>
  </mc:AlternateContent>
  <xr:revisionPtr revIDLastSave="0" documentId="13_ncr:1_{5654BCF5-00D5-4C4F-9BB6-0978682DDB7A}" xr6:coauthVersionLast="47" xr6:coauthVersionMax="47" xr10:uidLastSave="{00000000-0000-0000-0000-000000000000}"/>
  <bookViews>
    <workbookView xWindow="-120" yWindow="-120" windowWidth="20730" windowHeight="11040" activeTab="1" xr2:uid="{F91511D9-C0CF-4C6D-8103-54094EAD38F7}"/>
  </bookViews>
  <sheets>
    <sheet name="Dashboard" sheetId="2" r:id="rId1"/>
    <sheet name="Dashboard_V2" sheetId="9" r:id="rId2"/>
    <sheet name="Lançamentos" sheetId="3" r:id="rId3"/>
    <sheet name="Contas" sheetId="4" r:id="rId4"/>
    <sheet name="Categorias" sheetId="5" r:id="rId5"/>
    <sheet name="Metas" sheetId="6" r:id="rId6"/>
    <sheet name="FormasPagamento" sheetId="7" r:id="rId7"/>
    <sheet name="Configurações" sheetId="8" r:id="rId8"/>
  </sheets>
  <definedNames>
    <definedName name="nmCategorias">Categorias!$B$2:$B$1000</definedName>
    <definedName name="nmContas">Contas!$B$2:$B$1000</definedName>
    <definedName name="nmFormasPagamento">FormasPagamento!$B$2:$B$1000</definedName>
    <definedName name="nmStatusLancamento">Configurações!$E$2:$E$3</definedName>
    <definedName name="nmTiposLancamento">Configurações!$D$2:$D$3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M7" i="9" l="1"/>
  <c r="J7" i="9"/>
  <c r="G7" i="9"/>
  <c r="D7" i="9"/>
  <c r="B15" i="2"/>
  <c r="B14" i="2"/>
  <c r="B13" i="2"/>
  <c r="B12" i="2"/>
  <c r="J5" i="2"/>
  <c r="D5" i="2"/>
  <c r="A5" i="2"/>
  <c r="G5" i="2" l="1"/>
</calcChain>
</file>

<file path=xl/sharedStrings.xml><?xml version="1.0" encoding="utf-8"?>
<sst xmlns="http://schemas.openxmlformats.org/spreadsheetml/2006/main" count="183" uniqueCount="107">
  <si>
    <t>SMART FINANCIAL</t>
  </si>
  <si>
    <t>ID</t>
  </si>
  <si>
    <t>Data</t>
  </si>
  <si>
    <t>Tipo</t>
  </si>
  <si>
    <t>Categoria</t>
  </si>
  <si>
    <t>Descrição</t>
  </si>
  <si>
    <t>Valor</t>
  </si>
  <si>
    <t>Conta</t>
  </si>
  <si>
    <t>Forma de Pagamento</t>
  </si>
  <si>
    <t>Status</t>
  </si>
  <si>
    <t>Observação</t>
  </si>
  <si>
    <t>Data de Cadastro</t>
  </si>
  <si>
    <t>Nome da Conta</t>
  </si>
  <si>
    <t>Instituição</t>
  </si>
  <si>
    <t>Saldo Inicial</t>
  </si>
  <si>
    <t>Ativa</t>
  </si>
  <si>
    <t>Salário</t>
  </si>
  <si>
    <t>Receita</t>
  </si>
  <si>
    <t>Sim</t>
  </si>
  <si>
    <t>Freelance</t>
  </si>
  <si>
    <t>Investimentos</t>
  </si>
  <si>
    <t>Alimentação</t>
  </si>
  <si>
    <t>Despesa</t>
  </si>
  <si>
    <t>Moradia</t>
  </si>
  <si>
    <t>Transporte</t>
  </si>
  <si>
    <t>Saúde</t>
  </si>
  <si>
    <t>Educação</t>
  </si>
  <si>
    <t>Lazer</t>
  </si>
  <si>
    <t>Contas</t>
  </si>
  <si>
    <t>Compras</t>
  </si>
  <si>
    <t>Outros</t>
  </si>
  <si>
    <t>Meta</t>
  </si>
  <si>
    <t>Valor Objetivo</t>
  </si>
  <si>
    <t>Valor Atual</t>
  </si>
  <si>
    <t>Data Limite</t>
  </si>
  <si>
    <t>PIX</t>
  </si>
  <si>
    <t>Eletrônico</t>
  </si>
  <si>
    <t>Cartão de Crédito</t>
  </si>
  <si>
    <t>Cartão</t>
  </si>
  <si>
    <t>Cartão de Débito</t>
  </si>
  <si>
    <t>Dinheiro</t>
  </si>
  <si>
    <t>Transferência</t>
  </si>
  <si>
    <t>Boleto</t>
  </si>
  <si>
    <t>Débito Automático</t>
  </si>
  <si>
    <t>Configuração</t>
  </si>
  <si>
    <t>Moeda</t>
  </si>
  <si>
    <t>BRL</t>
  </si>
  <si>
    <t>Símbolo</t>
  </si>
  <si>
    <t>R$</t>
  </si>
  <si>
    <t>Idioma</t>
  </si>
  <si>
    <t>Português (Brasil)</t>
  </si>
  <si>
    <t>Versão</t>
  </si>
  <si>
    <t>Sistema</t>
  </si>
  <si>
    <t>Smart Financial Excel</t>
  </si>
  <si>
    <t>TiposLancamento</t>
  </si>
  <si>
    <t>StatusLancamento</t>
  </si>
  <si>
    <t>Pago</t>
  </si>
  <si>
    <t>Pendente</t>
  </si>
  <si>
    <t>Conta Principal</t>
  </si>
  <si>
    <t>Conta Corrente</t>
  </si>
  <si>
    <t>Banco de Teste</t>
  </si>
  <si>
    <t>Salário de teste</t>
  </si>
  <si>
    <t>Teste do sistema</t>
  </si>
  <si>
    <t>1.3.1</t>
  </si>
  <si>
    <t>RECEITAS</t>
  </si>
  <si>
    <t>DESPESAS</t>
  </si>
  <si>
    <t>LANÇAMENTOS</t>
  </si>
  <si>
    <t>RESUMO FINANCEIRO</t>
  </si>
  <si>
    <t>Receitas</t>
  </si>
  <si>
    <t>Despesas</t>
  </si>
  <si>
    <t>Saldo</t>
  </si>
  <si>
    <t>Lançamentos</t>
  </si>
  <si>
    <t>VISÃO FINANCEIRA</t>
  </si>
  <si>
    <t>Indicador</t>
  </si>
  <si>
    <t>DISTRIBUIÇÃO DAS DESPESAS</t>
  </si>
  <si>
    <t>Sem despesas</t>
  </si>
  <si>
    <t>Mês</t>
  </si>
  <si>
    <t>METAS FINANCEIRAS</t>
  </si>
  <si>
    <t>SALDO DO MÊS</t>
  </si>
  <si>
    <t>SAÚDE FINANCEIRA</t>
  </si>
  <si>
    <t>META DE ECONOMIA_x000D_
_x000D_
Área preparada para integração com a aba Metas._x000D_
_x000D_
Em breve este painel mostrará automaticamente:_x000D_
• Meta mensal_x000D_
• Valor acumulado_x000D_
• Percentual atingido</t>
  </si>
  <si>
    <t>INDICADORES FINANCEIROS</t>
  </si>
  <si>
    <t>Economia</t>
  </si>
  <si>
    <t>EXCELENTE</t>
  </si>
  <si>
    <t>Parabéns! Suas finanças estão muito bem equilibradas.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</si>
  <si>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</si>
  <si>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</si>
  <si>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</si>
  <si>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</si>
  <si>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</si>
  <si>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</si>
  <si>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</si>
  <si>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</si>
  <si>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</si>
  <si>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</si>
  <si>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</si>
  <si>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</si>
  <si>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Controle financeiro pessoal</t>
  </si>
  <si>
    <t>Planeje hoje, conquiste seus objetivos amanhã.</t>
  </si>
  <si>
    <t>FINANCIAL</t>
  </si>
  <si>
    <t>Dashboard</t>
  </si>
  <si>
    <t>Metas</t>
  </si>
  <si>
    <t>Relatórios</t>
  </si>
  <si>
    <t>Configurações</t>
  </si>
  <si>
    <t>RECEITAS x DESPESAS</t>
  </si>
  <si>
    <t>ÁREA DO PERSONAGEM</t>
  </si>
  <si>
    <t>PRÓXIMO BLOCO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</si>
</sst>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"/>
    <numFmt numFmtId="165" formatCode="0.0%"/>
    <numFmt numFmtId="166" formatCode="&quot;R$&quot;\ #,##0.00"/>
  </numFmts>
  <fonts count="40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4"/>
      <color rgb="FF194B78"/>
      <name val="Aptos Display"/>
      <family val="2"/>
    </font>
    <font>
      <b/>
      <sz val="11"/>
      <color rgb="FF2E7D32"/>
      <name val="Aptos"/>
      <family val="2"/>
    </font>
    <font>
      <sz val="10"/>
      <color rgb="FF505A64"/>
      <name val="Aptos"/>
      <family val="2"/>
    </font>
    <font>
      <i/>
      <sz val="8"/>
      <color rgb="FF828C96"/>
      <name val="Aptos"/>
      <family val="2"/>
    </font>
    <font>
      <b/>
      <sz val="12"/>
      <color rgb="FF194B78"/>
      <name val="Aptos Display"/>
      <family val="2"/>
    </font>
    <font>
      <sz val="10"/>
      <color rgb="FF46505A"/>
      <name val="Aptos"/>
      <family val="2"/>
    </font>
    <font>
      <sz val="10"/>
      <color rgb="FF37414B"/>
      <name val="Aptos"/>
      <family val="2"/>
    </font>
    <font>
      <b/>
      <sz val="10"/>
      <color rgb="FF37414B"/>
      <name val="Aptos"/>
      <family val="2"/>
    </font>
    <font>
      <b/>
      <sz val="10"/>
      <color rgb="FF505A64"/>
      <name val="Aptos"/>
      <family val="2"/>
    </font>
    <font>
      <b/>
      <sz val="28"/>
      <color rgb="FF2E7D32"/>
      <name val="Aptos Display"/>
      <family val="2"/>
    </font>
    <font>
      <sz val="9"/>
      <color rgb="FF505A64"/>
      <name val="Aptos"/>
      <family val="2"/>
    </font>
    <font>
      <b/>
      <sz val="24"/>
      <color rgb="FFFFFFFF"/>
      <name val="Aptos Display"/>
      <family val="2"/>
    </font>
    <font>
      <i/>
      <sz val="11"/>
      <color rgb="FFE1EBF5"/>
      <name val="Aptos"/>
      <family val="2"/>
    </font>
    <font>
      <b/>
      <sz val="11"/>
      <color rgb="FFFFFFFF"/>
      <name val="Aptos"/>
      <family val="2"/>
    </font>
    <font>
      <b/>
      <sz val="20"/>
      <color rgb="FF1EA05A"/>
      <name val="Aptos Display"/>
      <family val="2"/>
    </font>
    <font>
      <b/>
      <sz val="20"/>
      <color theme="1"/>
      <name val="Aptos"/>
      <family val="2"/>
    </font>
    <font>
      <b/>
      <sz val="20"/>
      <color rgb="FFE13737"/>
      <name val="Aptos Display"/>
      <family val="2"/>
    </font>
    <font>
      <b/>
      <sz val="20"/>
      <color rgb="FF237DDC"/>
      <name val="Aptos Display"/>
      <family val="2"/>
    </font>
    <font>
      <b/>
      <sz val="20"/>
      <color rgb="FF5A5F69"/>
      <name val="Aptos Display"/>
      <family val="2"/>
    </font>
    <font>
      <b/>
      <sz val="11"/>
      <color rgb="FF194B78"/>
      <name val="Aptos"/>
      <family val="2"/>
    </font>
    <font>
      <b/>
      <sz val="11"/>
      <color theme="1"/>
      <name val="Aptos"/>
      <family val="2"/>
    </font>
    <font>
      <b/>
      <sz val="11"/>
      <color rgb="FF1EA05A"/>
      <name val="Aptos"/>
      <family val="2"/>
    </font>
    <font>
      <b/>
      <sz val="11"/>
      <color rgb="FFE13737"/>
      <name val="Aptos"/>
      <family val="2"/>
    </font>
    <font>
      <b/>
      <sz val="11"/>
      <color rgb="FF237DDC"/>
      <name val="Aptos"/>
      <family val="2"/>
    </font>
    <font>
      <b/>
      <sz val="15"/>
      <color theme="1"/>
      <name val="Aptos"/>
      <family val="2"/>
    </font>
    <font>
      <sz val="10"/>
      <color rgb="FF232D3C"/>
      <name val="Aptos"/>
      <family val="2"/>
    </font>
    <font>
      <sz val="10"/>
      <color rgb="FFFFFFFF"/>
      <name val="Aptos"/>
      <family val="2"/>
    </font>
    <font>
      <b/>
      <sz val="15"/>
      <color rgb="FFFFFFFF"/>
      <name val="Aptos Display"/>
      <family val="2"/>
    </font>
    <font>
      <b/>
      <sz val="10"/>
      <color rgb="FFDCE6F0"/>
      <name val="Aptos"/>
      <family val="2"/>
    </font>
    <font>
      <b/>
      <sz val="11"/>
      <color rgb="FF232D3C"/>
      <name val="Aptos"/>
      <family val="2"/>
    </font>
    <font>
      <b/>
      <sz val="18"/>
      <color rgb="FF27AE60"/>
      <name val="Aptos Display"/>
      <family val="2"/>
    </font>
    <font>
      <b/>
      <sz val="18"/>
      <color rgb="FFE74C3C"/>
      <name val="Aptos Display"/>
      <family val="2"/>
    </font>
    <font>
      <b/>
      <sz val="18"/>
      <color rgb="FF2962B4"/>
      <name val="Aptos Display"/>
      <family val="2"/>
    </font>
    <font>
      <b/>
      <sz val="18"/>
      <color rgb="FF6F4EAA"/>
      <name val="Aptos Display"/>
      <family val="2"/>
    </font>
    <font>
      <b/>
      <sz val="12"/>
      <color rgb="FF1E375A"/>
      <name val="Aptos"/>
      <family val="2"/>
    </font>
    <font>
      <i/>
      <sz val="10"/>
      <color rgb="FF505A69"/>
      <name val="Aptos"/>
      <family val="2"/>
    </font>
  </fonts>
  <fills count="19">
    <fill>
      <patternFill patternType="none"/>
    </fill>
    <fill>
      <patternFill patternType="gray125"/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CF2"/>
        <bgColor indexed="64"/>
      </patternFill>
    </fill>
    <fill>
      <patternFill patternType="solid">
        <fgColor rgb="FFE8EEF5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D32F2F"/>
        <bgColor indexed="64"/>
      </patternFill>
    </fill>
    <fill>
      <patternFill patternType="solid">
        <fgColor rgb="FF1976D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154E6B"/>
        <bgColor indexed="64"/>
      </patternFill>
    </fill>
    <fill>
      <patternFill patternType="solid">
        <fgColor rgb="FF10263D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DCF8E8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E0ECFF"/>
        <bgColor indexed="64"/>
      </patternFill>
    </fill>
    <fill>
      <patternFill patternType="solid">
        <fgColor rgb="FFEEE9FF"/>
        <bgColor indexed="64"/>
      </patternFill>
    </fill>
  </fills>
  <borders count="23">
    <border>
      <left/>
      <right/>
      <top/>
      <bottom/>
      <diagonal/>
    </border>
    <border>
      <left style="thin">
        <color rgb="FFDCE1E6"/>
      </left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DCE1E6"/>
      </left>
      <right/>
      <top/>
      <bottom/>
      <diagonal/>
    </border>
    <border>
      <left style="thin">
        <color rgb="FFDCE1E6"/>
      </left>
      <right/>
      <top style="thin">
        <color rgb="FFDCE1E6"/>
      </top>
      <bottom style="thin">
        <color rgb="FFDCE1E6"/>
      </bottom>
      <diagonal/>
    </border>
    <border>
      <left/>
      <right/>
      <top style="thin">
        <color rgb="FFDCE1E6"/>
      </top>
      <bottom style="thin">
        <color rgb="FFDCE1E6"/>
      </bottom>
      <diagonal/>
    </border>
    <border>
      <left/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DCE1E6"/>
      </left>
      <right/>
      <top style="thin">
        <color rgb="FFDCE1E6"/>
      </top>
      <bottom/>
      <diagonal/>
    </border>
    <border>
      <left/>
      <right/>
      <top style="thin">
        <color rgb="FFDCE1E6"/>
      </top>
      <bottom/>
      <diagonal/>
    </border>
    <border>
      <left/>
      <right style="thin">
        <color rgb="FFDCE1E6"/>
      </right>
      <top style="thin">
        <color rgb="FFDCE1E6"/>
      </top>
      <bottom/>
      <diagonal/>
    </border>
    <border>
      <left style="thin">
        <color rgb="FFDCE1E6"/>
      </left>
      <right/>
      <top/>
      <bottom style="thin">
        <color rgb="FFDCE1E6"/>
      </bottom>
      <diagonal/>
    </border>
    <border>
      <left/>
      <right/>
      <top/>
      <bottom style="thin">
        <color rgb="FFDCE1E6"/>
      </bottom>
      <diagonal/>
    </border>
    <border>
      <left/>
      <right style="thin">
        <color rgb="FFDCE1E6"/>
      </right>
      <top/>
      <bottom style="thin">
        <color rgb="FFDCE1E6"/>
      </bottom>
      <diagonal/>
    </border>
    <border>
      <left/>
      <right style="thin">
        <color rgb="FFDCE1E6"/>
      </right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154E6B"/>
      </left>
      <right style="thin">
        <color rgb="FF154E6B"/>
      </right>
      <top style="thin">
        <color rgb="FF154E6B"/>
      </top>
      <bottom style="thin">
        <color rgb="FF154E6B"/>
      </bottom>
      <diagonal/>
    </border>
    <border>
      <left/>
      <right/>
      <top style="thin">
        <color rgb="FF154E6B"/>
      </top>
      <bottom/>
      <diagonal/>
    </border>
    <border>
      <left style="thin">
        <color rgb="FFE1E6EC"/>
      </left>
      <right style="thin">
        <color rgb="FFE1E6EC"/>
      </right>
      <top style="thin">
        <color rgb="FFE1E6EC"/>
      </top>
      <bottom style="thin">
        <color rgb="FFE1E6EC"/>
      </bottom>
      <diagonal/>
    </border>
    <border>
      <left style="thin">
        <color rgb="FFE1E6EC"/>
      </left>
      <right/>
      <top style="thin">
        <color rgb="FFE1E6EC"/>
      </top>
      <bottom/>
      <diagonal/>
    </border>
    <border>
      <left/>
      <right/>
      <top style="thin">
        <color rgb="FFE1E6EC"/>
      </top>
      <bottom/>
      <diagonal/>
    </border>
    <border>
      <left/>
      <right style="thin">
        <color rgb="FFE1E6EC"/>
      </right>
      <top style="thin">
        <color rgb="FFE1E6EC"/>
      </top>
      <bottom/>
      <diagonal/>
    </border>
    <border>
      <left style="thin">
        <color rgb="FFE1E6EC"/>
      </left>
      <right/>
      <top/>
      <bottom style="thin">
        <color rgb="FFE1E6EC"/>
      </bottom>
      <diagonal/>
    </border>
    <border>
      <left/>
      <right/>
      <top/>
      <bottom style="thin">
        <color rgb="FFE1E6EC"/>
      </bottom>
      <diagonal/>
    </border>
    <border>
      <left/>
      <right style="thin">
        <color rgb="FFE1E6EC"/>
      </right>
      <top/>
      <bottom style="thin">
        <color rgb="FFE1E6EC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1" fillId="0" borderId="0" xfId="0" applyFont="1"/>
    <xf numFmtId="14" fontId="0" fillId="0" borderId="0" xfId="0" applyNumberFormat="1"/>
    <xf numFmtId="14" fontId="1" fillId="0" borderId="0" xfId="0" applyNumberFormat="1" applyFont="1"/>
    <xf numFmtId="164" fontId="0" fillId="0" borderId="0" xfId="0" applyNumberFormat="1"/>
    <xf numFmtId="22" fontId="0" fillId="0" borderId="0" xfId="0" applyNumberFormat="1"/>
    <xf numFmtId="164" fontId="1" fillId="0" borderId="0" xfId="0" applyNumberFormat="1" applyFont="1"/>
    <xf numFmtId="0" fontId="2" fillId="2" borderId="0" xfId="0" applyFont="1" applyFill="1"/>
    <xf numFmtId="164" fontId="2" fillId="2" borderId="0" xfId="0" applyNumberFormat="1" applyFont="1" applyFill="1"/>
    <xf numFmtId="0" fontId="8" fillId="2" borderId="0" xfId="0" applyFont="1" applyFill="1" applyAlignment="1">
      <alignment horizontal="left" vertical="center"/>
    </xf>
    <xf numFmtId="0" fontId="10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0" fillId="3" borderId="1" xfId="0" applyNumberFormat="1" applyFont="1" applyFill="1" applyBorder="1" applyAlignment="1">
      <alignment horizontal="center" vertical="center" wrapText="1"/>
    </xf>
    <xf numFmtId="165" fontId="10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9" fontId="13" fillId="3" borderId="6" xfId="0" applyNumberFormat="1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 wrapText="1"/>
    </xf>
    <xf numFmtId="0" fontId="13" fillId="3" borderId="8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13" fillId="3" borderId="12" xfId="0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0" fontId="14" fillId="3" borderId="7" xfId="0" applyFont="1" applyFill="1" applyBorder="1" applyAlignment="1">
      <alignment horizontal="center" vertical="center" wrapText="1"/>
    </xf>
    <xf numFmtId="0" fontId="14" fillId="3" borderId="8" xfId="0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4" fillId="3" borderId="1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17" fillId="8" borderId="13" xfId="0" applyFont="1" applyFill="1" applyBorder="1" applyAlignment="1">
      <alignment horizontal="center" vertical="center"/>
    </xf>
    <xf numFmtId="164" fontId="18" fillId="7" borderId="13" xfId="0" applyNumberFormat="1" applyFont="1" applyFill="1" applyBorder="1" applyAlignment="1">
      <alignment horizontal="center" vertical="center"/>
    </xf>
    <xf numFmtId="0" fontId="19" fillId="7" borderId="13" xfId="0" applyFont="1" applyFill="1" applyBorder="1" applyAlignment="1">
      <alignment horizontal="center" vertical="center"/>
    </xf>
    <xf numFmtId="0" fontId="17" fillId="9" borderId="13" xfId="0" applyFont="1" applyFill="1" applyBorder="1" applyAlignment="1">
      <alignment horizontal="center" vertical="center"/>
    </xf>
    <xf numFmtId="164" fontId="20" fillId="7" borderId="13" xfId="0" applyNumberFormat="1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horizontal="center" vertical="center"/>
    </xf>
    <xf numFmtId="164" fontId="21" fillId="7" borderId="13" xfId="0" applyNumberFormat="1" applyFont="1" applyFill="1" applyBorder="1" applyAlignment="1">
      <alignment horizontal="center" vertical="center"/>
    </xf>
    <xf numFmtId="0" fontId="17" fillId="11" borderId="13" xfId="0" applyFont="1" applyFill="1" applyBorder="1" applyAlignment="1">
      <alignment horizontal="center" vertical="center"/>
    </xf>
    <xf numFmtId="3" fontId="22" fillId="7" borderId="13" xfId="0" applyNumberFormat="1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left"/>
    </xf>
    <xf numFmtId="164" fontId="25" fillId="2" borderId="1" xfId="0" applyNumberFormat="1" applyFont="1" applyFill="1" applyBorder="1" applyAlignment="1">
      <alignment horizontal="right"/>
    </xf>
    <xf numFmtId="164" fontId="26" fillId="2" borderId="1" xfId="0" applyNumberFormat="1" applyFont="1" applyFill="1" applyBorder="1" applyAlignment="1">
      <alignment horizontal="right"/>
    </xf>
    <xf numFmtId="164" fontId="27" fillId="2" borderId="1" xfId="0" applyNumberFormat="1" applyFont="1" applyFill="1" applyBorder="1" applyAlignment="1">
      <alignment horizontal="right"/>
    </xf>
    <xf numFmtId="3" fontId="24" fillId="2" borderId="1" xfId="0" applyNumberFormat="1" applyFont="1" applyFill="1" applyBorder="1" applyAlignment="1">
      <alignment horizontal="right"/>
    </xf>
    <xf numFmtId="0" fontId="28" fillId="2" borderId="0" xfId="0" applyFont="1" applyFill="1"/>
    <xf numFmtId="0" fontId="29" fillId="6" borderId="0" xfId="0" applyFont="1" applyFill="1"/>
    <xf numFmtId="0" fontId="30" fillId="13" borderId="0" xfId="0" applyFont="1" applyFill="1"/>
    <xf numFmtId="0" fontId="31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left" vertical="center"/>
    </xf>
    <xf numFmtId="0" fontId="32" fillId="13" borderId="0" xfId="0" applyFont="1" applyFill="1" applyAlignment="1">
      <alignment horizontal="left" vertical="center"/>
    </xf>
    <xf numFmtId="0" fontId="29" fillId="15" borderId="16" xfId="0" applyFont="1" applyFill="1" applyBorder="1" applyAlignment="1">
      <alignment horizontal="left" vertical="center"/>
    </xf>
    <xf numFmtId="0" fontId="33" fillId="15" borderId="17" xfId="0" applyFont="1" applyFill="1" applyBorder="1" applyAlignment="1">
      <alignment horizontal="left" vertical="center"/>
    </xf>
    <xf numFmtId="0" fontId="33" fillId="15" borderId="18" xfId="0" applyFont="1" applyFill="1" applyBorder="1" applyAlignment="1">
      <alignment horizontal="left" vertical="center"/>
    </xf>
    <xf numFmtId="0" fontId="33" fillId="15" borderId="19" xfId="0" applyFont="1" applyFill="1" applyBorder="1" applyAlignment="1">
      <alignment horizontal="left" vertical="center"/>
    </xf>
    <xf numFmtId="0" fontId="33" fillId="15" borderId="20" xfId="0" applyFont="1" applyFill="1" applyBorder="1" applyAlignment="1">
      <alignment horizontal="left" vertical="center"/>
    </xf>
    <xf numFmtId="0" fontId="33" fillId="15" borderId="21" xfId="0" applyFont="1" applyFill="1" applyBorder="1" applyAlignment="1">
      <alignment horizontal="left" vertical="center"/>
    </xf>
    <xf numFmtId="0" fontId="33" fillId="15" borderId="22" xfId="0" applyFont="1" applyFill="1" applyBorder="1" applyAlignment="1">
      <alignment horizontal="left" vertical="center"/>
    </xf>
    <xf numFmtId="166" fontId="34" fillId="15" borderId="17" xfId="0" applyNumberFormat="1" applyFont="1" applyFill="1" applyBorder="1" applyAlignment="1">
      <alignment horizontal="left" vertical="center"/>
    </xf>
    <xf numFmtId="166" fontId="34" fillId="15" borderId="18" xfId="0" applyNumberFormat="1" applyFont="1" applyFill="1" applyBorder="1" applyAlignment="1">
      <alignment horizontal="left" vertical="center"/>
    </xf>
    <xf numFmtId="166" fontId="34" fillId="15" borderId="19" xfId="0" applyNumberFormat="1" applyFont="1" applyFill="1" applyBorder="1" applyAlignment="1">
      <alignment horizontal="left" vertical="center"/>
    </xf>
    <xf numFmtId="166" fontId="34" fillId="15" borderId="20" xfId="0" applyNumberFormat="1" applyFont="1" applyFill="1" applyBorder="1" applyAlignment="1">
      <alignment horizontal="left" vertical="center"/>
    </xf>
    <xf numFmtId="166" fontId="34" fillId="15" borderId="21" xfId="0" applyNumberFormat="1" applyFont="1" applyFill="1" applyBorder="1" applyAlignment="1">
      <alignment horizontal="left" vertical="center"/>
    </xf>
    <xf numFmtId="166" fontId="34" fillId="15" borderId="22" xfId="0" applyNumberFormat="1" applyFont="1" applyFill="1" applyBorder="1" applyAlignment="1">
      <alignment horizontal="left" vertical="center"/>
    </xf>
    <xf numFmtId="0" fontId="29" fillId="16" borderId="16" xfId="0" applyFont="1" applyFill="1" applyBorder="1" applyAlignment="1">
      <alignment horizontal="left" vertical="center"/>
    </xf>
    <xf numFmtId="0" fontId="33" fillId="16" borderId="17" xfId="0" applyFont="1" applyFill="1" applyBorder="1" applyAlignment="1">
      <alignment horizontal="left" vertical="center"/>
    </xf>
    <xf numFmtId="0" fontId="33" fillId="16" borderId="18" xfId="0" applyFont="1" applyFill="1" applyBorder="1" applyAlignment="1">
      <alignment horizontal="left" vertical="center"/>
    </xf>
    <xf numFmtId="0" fontId="33" fillId="16" borderId="19" xfId="0" applyFont="1" applyFill="1" applyBorder="1" applyAlignment="1">
      <alignment horizontal="left" vertical="center"/>
    </xf>
    <xf numFmtId="0" fontId="33" fillId="16" borderId="20" xfId="0" applyFont="1" applyFill="1" applyBorder="1" applyAlignment="1">
      <alignment horizontal="left" vertical="center"/>
    </xf>
    <xf numFmtId="0" fontId="33" fillId="16" borderId="21" xfId="0" applyFont="1" applyFill="1" applyBorder="1" applyAlignment="1">
      <alignment horizontal="left" vertical="center"/>
    </xf>
    <xf numFmtId="0" fontId="33" fillId="16" borderId="22" xfId="0" applyFont="1" applyFill="1" applyBorder="1" applyAlignment="1">
      <alignment horizontal="left" vertical="center"/>
    </xf>
    <xf numFmtId="166" fontId="35" fillId="16" borderId="17" xfId="0" applyNumberFormat="1" applyFont="1" applyFill="1" applyBorder="1" applyAlignment="1">
      <alignment horizontal="left" vertical="center"/>
    </xf>
    <xf numFmtId="166" fontId="35" fillId="16" borderId="18" xfId="0" applyNumberFormat="1" applyFont="1" applyFill="1" applyBorder="1" applyAlignment="1">
      <alignment horizontal="left" vertical="center"/>
    </xf>
    <xf numFmtId="166" fontId="35" fillId="16" borderId="19" xfId="0" applyNumberFormat="1" applyFont="1" applyFill="1" applyBorder="1" applyAlignment="1">
      <alignment horizontal="left" vertical="center"/>
    </xf>
    <xf numFmtId="166" fontId="35" fillId="16" borderId="20" xfId="0" applyNumberFormat="1" applyFont="1" applyFill="1" applyBorder="1" applyAlignment="1">
      <alignment horizontal="left" vertical="center"/>
    </xf>
    <xf numFmtId="166" fontId="35" fillId="16" borderId="21" xfId="0" applyNumberFormat="1" applyFont="1" applyFill="1" applyBorder="1" applyAlignment="1">
      <alignment horizontal="left" vertical="center"/>
    </xf>
    <xf numFmtId="166" fontId="35" fillId="16" borderId="22" xfId="0" applyNumberFormat="1" applyFont="1" applyFill="1" applyBorder="1" applyAlignment="1">
      <alignment horizontal="left" vertical="center"/>
    </xf>
    <xf numFmtId="0" fontId="29" fillId="17" borderId="16" xfId="0" applyFont="1" applyFill="1" applyBorder="1" applyAlignment="1">
      <alignment horizontal="left" vertical="center"/>
    </xf>
    <xf numFmtId="0" fontId="33" fillId="17" borderId="17" xfId="0" applyFont="1" applyFill="1" applyBorder="1" applyAlignment="1">
      <alignment horizontal="left" vertical="center"/>
    </xf>
    <xf numFmtId="0" fontId="33" fillId="17" borderId="18" xfId="0" applyFont="1" applyFill="1" applyBorder="1" applyAlignment="1">
      <alignment horizontal="left" vertical="center"/>
    </xf>
    <xf numFmtId="0" fontId="33" fillId="17" borderId="19" xfId="0" applyFont="1" applyFill="1" applyBorder="1" applyAlignment="1">
      <alignment horizontal="left" vertical="center"/>
    </xf>
    <xf numFmtId="0" fontId="33" fillId="17" borderId="20" xfId="0" applyFont="1" applyFill="1" applyBorder="1" applyAlignment="1">
      <alignment horizontal="left" vertical="center"/>
    </xf>
    <xf numFmtId="0" fontId="33" fillId="17" borderId="21" xfId="0" applyFont="1" applyFill="1" applyBorder="1" applyAlignment="1">
      <alignment horizontal="left" vertical="center"/>
    </xf>
    <xf numFmtId="0" fontId="33" fillId="17" borderId="22" xfId="0" applyFont="1" applyFill="1" applyBorder="1" applyAlignment="1">
      <alignment horizontal="left" vertical="center"/>
    </xf>
    <xf numFmtId="166" fontId="36" fillId="17" borderId="17" xfId="0" applyNumberFormat="1" applyFont="1" applyFill="1" applyBorder="1" applyAlignment="1">
      <alignment horizontal="left" vertical="center"/>
    </xf>
    <xf numFmtId="166" fontId="36" fillId="17" borderId="18" xfId="0" applyNumberFormat="1" applyFont="1" applyFill="1" applyBorder="1" applyAlignment="1">
      <alignment horizontal="left" vertical="center"/>
    </xf>
    <xf numFmtId="166" fontId="36" fillId="17" borderId="19" xfId="0" applyNumberFormat="1" applyFont="1" applyFill="1" applyBorder="1" applyAlignment="1">
      <alignment horizontal="left" vertical="center"/>
    </xf>
    <xf numFmtId="166" fontId="36" fillId="17" borderId="20" xfId="0" applyNumberFormat="1" applyFont="1" applyFill="1" applyBorder="1" applyAlignment="1">
      <alignment horizontal="left" vertical="center"/>
    </xf>
    <xf numFmtId="166" fontId="36" fillId="17" borderId="21" xfId="0" applyNumberFormat="1" applyFont="1" applyFill="1" applyBorder="1" applyAlignment="1">
      <alignment horizontal="left" vertical="center"/>
    </xf>
    <xf numFmtId="166" fontId="36" fillId="17" borderId="22" xfId="0" applyNumberFormat="1" applyFont="1" applyFill="1" applyBorder="1" applyAlignment="1">
      <alignment horizontal="left" vertical="center"/>
    </xf>
    <xf numFmtId="0" fontId="29" fillId="18" borderId="16" xfId="0" applyFont="1" applyFill="1" applyBorder="1" applyAlignment="1">
      <alignment horizontal="left" vertical="center"/>
    </xf>
    <xf numFmtId="0" fontId="33" fillId="18" borderId="17" xfId="0" applyFont="1" applyFill="1" applyBorder="1" applyAlignment="1">
      <alignment horizontal="left" vertical="center"/>
    </xf>
    <xf numFmtId="0" fontId="33" fillId="18" borderId="18" xfId="0" applyFont="1" applyFill="1" applyBorder="1" applyAlignment="1">
      <alignment horizontal="left" vertical="center"/>
    </xf>
    <xf numFmtId="0" fontId="33" fillId="18" borderId="19" xfId="0" applyFont="1" applyFill="1" applyBorder="1" applyAlignment="1">
      <alignment horizontal="left" vertical="center"/>
    </xf>
    <xf numFmtId="0" fontId="33" fillId="18" borderId="20" xfId="0" applyFont="1" applyFill="1" applyBorder="1" applyAlignment="1">
      <alignment horizontal="left" vertical="center"/>
    </xf>
    <xf numFmtId="0" fontId="33" fillId="18" borderId="21" xfId="0" applyFont="1" applyFill="1" applyBorder="1" applyAlignment="1">
      <alignment horizontal="left" vertical="center"/>
    </xf>
    <xf numFmtId="0" fontId="33" fillId="18" borderId="22" xfId="0" applyFont="1" applyFill="1" applyBorder="1" applyAlignment="1">
      <alignment horizontal="left" vertical="center"/>
    </xf>
    <xf numFmtId="1" fontId="37" fillId="18" borderId="17" xfId="0" applyNumberFormat="1" applyFont="1" applyFill="1" applyBorder="1" applyAlignment="1">
      <alignment horizontal="left" vertical="center"/>
    </xf>
    <xf numFmtId="1" fontId="37" fillId="18" borderId="18" xfId="0" applyNumberFormat="1" applyFont="1" applyFill="1" applyBorder="1" applyAlignment="1">
      <alignment horizontal="left" vertical="center"/>
    </xf>
    <xf numFmtId="1" fontId="37" fillId="18" borderId="19" xfId="0" applyNumberFormat="1" applyFont="1" applyFill="1" applyBorder="1" applyAlignment="1">
      <alignment horizontal="left" vertical="center"/>
    </xf>
    <xf numFmtId="1" fontId="37" fillId="18" borderId="20" xfId="0" applyNumberFormat="1" applyFont="1" applyFill="1" applyBorder="1" applyAlignment="1">
      <alignment horizontal="left" vertical="center"/>
    </xf>
    <xf numFmtId="1" fontId="37" fillId="18" borderId="21" xfId="0" applyNumberFormat="1" applyFont="1" applyFill="1" applyBorder="1" applyAlignment="1">
      <alignment horizontal="left" vertical="center"/>
    </xf>
    <xf numFmtId="1" fontId="37" fillId="18" borderId="22" xfId="0" applyNumberFormat="1" applyFont="1" applyFill="1" applyBorder="1" applyAlignment="1">
      <alignment horizontal="left" vertical="center"/>
    </xf>
    <xf numFmtId="0" fontId="38" fillId="3" borderId="16" xfId="0" applyFont="1" applyFill="1" applyBorder="1" applyAlignment="1">
      <alignment horizontal="left" vertical="top"/>
    </xf>
    <xf numFmtId="0" fontId="15" fillId="12" borderId="14" xfId="0" applyFont="1" applyFill="1" applyBorder="1" applyAlignment="1">
      <alignment horizontal="left" vertical="center"/>
    </xf>
    <xf numFmtId="0" fontId="39" fillId="6" borderId="15" xfId="0" applyFont="1" applyFill="1" applyBorder="1" applyAlignment="1">
      <alignment horizontal="left" vertical="center"/>
    </xf>
  </cellXfs>
  <cellStyles count="1">
    <cellStyle name="Normal" xfId="0" builtinId="0"/>
  </cellStyles>
  <dxfs count="8">
    <dxf>
      <numFmt numFmtId="19" formatCode="dd/mm/yyyy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27" formatCode="dd/mm/yyyy\ hh:mm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</dxf>
    <dxf>
      <numFmt numFmtId="164" formatCode="&quot;R$&quot;\ #,##0.00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Receitas x Despesas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&quot;R$&quot;\ #.##0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Dashboard!$A$12:$A$13</c:f>
              <c:strCache>
                <c:ptCount val="2"/>
                <c:pt idx="0">
                  <c:v>Receitas</c:v>
                </c:pt>
                <c:pt idx="1">
                  <c:v>Despesas</c:v>
                </c:pt>
              </c:strCache>
            </c:strRef>
          </c:cat>
          <c:val>
            <c:numRef>
              <c:f>Dashboard!$B$12:$B$13</c:f>
              <c:numCache>
                <c:formatCode>"R$"\ #,##0.00</c:formatCode>
                <c:ptCount val="2"/>
                <c:pt idx="0">
                  <c:v>3600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E3-4E10-BF7B-EB2E39BF8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62223"/>
        <c:axId val="2087039663"/>
      </c:barChart>
      <c:catAx>
        <c:axId val="93262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7039663"/>
        <c:crosses val="autoZero"/>
        <c:auto val="1"/>
        <c:lblAlgn val="ctr"/>
        <c:lblOffset val="100"/>
        <c:noMultiLvlLbl val="0"/>
      </c:catAx>
      <c:valAx>
        <c:axId val="2087039663"/>
        <c:scaling>
          <c:orientation val="minMax"/>
        </c:scaling>
        <c:delete val="0"/>
        <c:axPos val="l"/>
        <c:majorGridlines/>
        <c:numFmt formatCode="&quot;R$&quot;\ #,##0.00" sourceLinked="1"/>
        <c:majorTickMark val="out"/>
        <c:minorTickMark val="none"/>
        <c:tickLblPos val="nextTo"/>
        <c:crossAx val="93262223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CE1E6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Distribuição das Despesas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Dashboard!$N$2</c:f>
              <c:strCache>
                <c:ptCount val="1"/>
                <c:pt idx="0">
                  <c:v>Sem despesas</c:v>
                </c:pt>
              </c:strCache>
            </c:strRef>
          </c:tx>
          <c:cat>
            <c:multiLvlStrRef>
              <c:f>Dashboard!$O$1</c:f>
            </c:multiLvlStrRef>
          </c:cat>
          <c:val>
            <c:numRef>
              <c:f>Dashboard!$O$2</c:f>
            </c:numRef>
          </c:val>
          <c:extLst>
            <c:ext xmlns:c16="http://schemas.microsoft.com/office/drawing/2014/chart" uri="{C3380CC4-5D6E-409C-BE32-E72D297353CC}">
              <c16:uniqueId val="{00000002-A7FC-4057-9F5F-446720290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Evolução do Saldo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Dashboard!$R$1</c:f>
              <c:strCache>
                <c:ptCount val="1"/>
                <c:pt idx="0">
                  <c:v>Saldo</c:v>
                </c:pt>
              </c:strCache>
            </c:strRef>
          </c:tx>
          <c:val>
            <c:numRef>
              <c:f>Dashboard!$R$2:$R$13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Dashboard!$Q$2:$Q$13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3347-488F-8B87-2C249B4AF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45983"/>
        <c:axId val="2087042063"/>
      </c:lineChart>
      <c:catAx>
        <c:axId val="93245983"/>
        <c:scaling>
          <c:orientation val="minMax"/>
        </c:scaling>
        <c:delete val="0"/>
        <c:axPos val="b"/>
        <c:majorTickMark val="out"/>
        <c:minorTickMark val="none"/>
        <c:tickLblPos val="nextTo"/>
        <c:crossAx val="2087042063"/>
        <c:crosses val="autoZero"/>
        <c:auto val="1"/>
        <c:lblAlgn val="ctr"/>
        <c:lblOffset val="100"/>
        <c:noMultiLvlLbl val="0"/>
      </c:catAx>
      <c:valAx>
        <c:axId val="20870420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Saldo</a:t>
                </a:r>
              </a:p>
            </c:rich>
          </c:tx>
          <c:overlay val="0"/>
        </c:title>
        <c:majorTickMark val="out"/>
        <c:minorTickMark val="none"/>
        <c:tickLblPos val="nextTo"/>
        <c:crossAx val="93245983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0</xdr:rowOff>
    </xdr:from>
    <xdr:to>
      <xdr:col>12</xdr:col>
      <xdr:colOff>0</xdr:colOff>
      <xdr:row>24</xdr:row>
      <xdr:rowOff>0</xdr:rowOff>
    </xdr:to>
    <xdr:graphicFrame macro="">
      <xdr:nvGraphicFramePr>
        <xdr:cNvPr id="22" name="chtReceitasDespesas">
          <a:extLst>
            <a:ext uri="{FF2B5EF4-FFF2-40B4-BE49-F238E27FC236}">
              <a16:creationId xmlns:a16="http://schemas.microsoft.com/office/drawing/2014/main" id="{26D76023-1C31-75AF-E10D-BF853BD23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24" name="sfPersonagemFundo">
          <a:extLst>
            <a:ext uri="{FF2B5EF4-FFF2-40B4-BE49-F238E27FC236}">
              <a16:creationId xmlns:a16="http://schemas.microsoft.com/office/drawing/2014/main" id="{902C852C-0467-3262-10D5-CDBFA4518578}"/>
            </a:ext>
          </a:extLst>
        </xdr:cNvPr>
        <xdr:cNvSpPr/>
      </xdr:nvSpPr>
      <xdr:spPr>
        <a:xfrm>
          <a:off x="12452350" y="4724400"/>
          <a:ext cx="0" cy="2082800"/>
        </a:xfrm>
        <a:prstGeom prst="roundRect">
          <a:avLst/>
        </a:prstGeom>
        <a:solidFill>
          <a:srgbClr val="FFFFFF"/>
        </a:solidFill>
        <a:ln w="12700"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4</xdr:col>
      <xdr:colOff>692150</xdr:colOff>
      <xdr:row>39</xdr:row>
      <xdr:rowOff>127000</xdr:rowOff>
    </xdr:to>
    <xdr:graphicFrame macro="">
      <xdr:nvGraphicFramePr>
        <xdr:cNvPr id="27" name="chtDistribuicaoDespesas">
          <a:extLst>
            <a:ext uri="{FF2B5EF4-FFF2-40B4-BE49-F238E27FC236}">
              <a16:creationId xmlns:a16="http://schemas.microsoft.com/office/drawing/2014/main" id="{BB7FE915-FA8C-70B6-E88E-C5B805FB8F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27</xdr:row>
      <xdr:rowOff>0</xdr:rowOff>
    </xdr:from>
    <xdr:to>
      <xdr:col>11</xdr:col>
      <xdr:colOff>0</xdr:colOff>
      <xdr:row>39</xdr:row>
      <xdr:rowOff>127000</xdr:rowOff>
    </xdr:to>
    <xdr:graphicFrame macro="">
      <xdr:nvGraphicFramePr>
        <xdr:cNvPr id="28" name="chtEvolucaoSaldo">
          <a:extLst>
            <a:ext uri="{FF2B5EF4-FFF2-40B4-BE49-F238E27FC236}">
              <a16:creationId xmlns:a16="http://schemas.microsoft.com/office/drawing/2014/main" id="{9A3EEF98-21F0-5C9E-6823-7215D229D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8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2" name="SFE_CAT_PAINEL">
          <a:extLst>
            <a:ext uri="{FF2B5EF4-FFF2-40B4-BE49-F238E27FC236}">
              <a16:creationId xmlns:a16="http://schemas.microsoft.com/office/drawing/2014/main" id="{91E1BC5F-73AB-BBA4-2A2F-30CBACC53E01}"/>
            </a:ext>
          </a:extLst>
        </xdr:cNvPr>
        <xdr:cNvSpPr/>
      </xdr:nvSpPr>
      <xdr:spPr>
        <a:xfrm>
          <a:off x="8210550" y="2609850"/>
          <a:ext cx="3619500" cy="4419600"/>
        </a:xfrm>
        <a:prstGeom prst="roundRect">
          <a:avLst/>
        </a:prstGeom>
        <a:solidFill>
          <a:srgbClr val="EDF7EF"/>
        </a:solidFill>
        <a:ln w="15875">
          <a:solidFill>
            <a:srgbClr val="E1E6EB"/>
          </a:solidFill>
        </a:ln>
        <a:effectLst>
          <a:outerShdw blurRad="63500" dist="37357" dir="2700000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190500</xdr:colOff>
      <xdr:row>8</xdr:row>
      <xdr:rowOff>127000</xdr:rowOff>
    </xdr:from>
    <xdr:to>
      <xdr:col>12</xdr:col>
      <xdr:colOff>714375</xdr:colOff>
      <xdr:row>9</xdr:row>
      <xdr:rowOff>139700</xdr:rowOff>
    </xdr:to>
    <xdr:sp macro="" textlink="">
      <xdr:nvSpPr>
        <xdr:cNvPr id="3" name="SFE_CAT_TITULO">
          <a:extLst>
            <a:ext uri="{FF2B5EF4-FFF2-40B4-BE49-F238E27FC236}">
              <a16:creationId xmlns:a16="http://schemas.microsoft.com/office/drawing/2014/main" id="{D1139D09-1E0D-86E7-8CB1-D8C2CCD86168}"/>
            </a:ext>
          </a:extLst>
        </xdr:cNvPr>
        <xdr:cNvSpPr txBox="1"/>
      </xdr:nvSpPr>
      <xdr:spPr>
        <a:xfrm>
          <a:off x="8401050" y="2736850"/>
          <a:ext cx="323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pt-BR" sz="1300" b="1">
              <a:solidFill>
                <a:srgbClr val="193755"/>
              </a:solidFill>
              <a:latin typeface="Aptos Display" panose="020B0004020202020204" pitchFamily="34" charset="0"/>
            </a:rPr>
            <a:t>SEU MOMENTO FINANCEIRO</a:t>
          </a:r>
        </a:p>
      </xdr:txBody>
    </xdr:sp>
    <xdr:clientData/>
  </xdr:twoCellAnchor>
  <xdr:twoCellAnchor>
    <xdr:from>
      <xdr:col>10</xdr:col>
      <xdr:colOff>295275</xdr:colOff>
      <xdr:row>10</xdr:row>
      <xdr:rowOff>146049</xdr:rowOff>
    </xdr:from>
    <xdr:to>
      <xdr:col>10</xdr:col>
      <xdr:colOff>777875</xdr:colOff>
      <xdr:row>12</xdr:row>
      <xdr:rowOff>222249</xdr:rowOff>
    </xdr:to>
    <xdr:sp macro="" textlink="">
      <xdr:nvSpPr>
        <xdr:cNvPr id="4" name="SFE_CAT_ORELHA1">
          <a:extLst>
            <a:ext uri="{FF2B5EF4-FFF2-40B4-BE49-F238E27FC236}">
              <a16:creationId xmlns:a16="http://schemas.microsoft.com/office/drawing/2014/main" id="{2F4E09FA-A295-B7C1-6D46-6D10469C2322}"/>
            </a:ext>
          </a:extLst>
        </xdr:cNvPr>
        <xdr:cNvSpPr/>
      </xdr:nvSpPr>
      <xdr:spPr>
        <a:xfrm rot="20100000">
          <a:off x="9410700" y="3308349"/>
          <a:ext cx="482600" cy="571500"/>
        </a:xfrm>
        <a:prstGeom prst="triangle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127000</xdr:colOff>
      <xdr:row>10</xdr:row>
      <xdr:rowOff>146049</xdr:rowOff>
    </xdr:from>
    <xdr:to>
      <xdr:col>11</xdr:col>
      <xdr:colOff>609600</xdr:colOff>
      <xdr:row>12</xdr:row>
      <xdr:rowOff>222249</xdr:rowOff>
    </xdr:to>
    <xdr:sp macro="" textlink="">
      <xdr:nvSpPr>
        <xdr:cNvPr id="5" name="SFE_CAT_ORELHA2">
          <a:extLst>
            <a:ext uri="{FF2B5EF4-FFF2-40B4-BE49-F238E27FC236}">
              <a16:creationId xmlns:a16="http://schemas.microsoft.com/office/drawing/2014/main" id="{D2FAC797-31C9-E9CC-4939-1496D25CC1CC}"/>
            </a:ext>
          </a:extLst>
        </xdr:cNvPr>
        <xdr:cNvSpPr/>
      </xdr:nvSpPr>
      <xdr:spPr>
        <a:xfrm rot="1500000">
          <a:off x="10147300" y="3308349"/>
          <a:ext cx="482600" cy="571500"/>
        </a:xfrm>
        <a:prstGeom prst="triangle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174625</xdr:colOff>
      <xdr:row>11</xdr:row>
      <xdr:rowOff>57149</xdr:rowOff>
    </xdr:from>
    <xdr:to>
      <xdr:col>11</xdr:col>
      <xdr:colOff>730250</xdr:colOff>
      <xdr:row>17</xdr:row>
      <xdr:rowOff>3174</xdr:rowOff>
    </xdr:to>
    <xdr:sp macro="" textlink="">
      <xdr:nvSpPr>
        <xdr:cNvPr id="6" name="SFE_CAT_CABECA">
          <a:extLst>
            <a:ext uri="{FF2B5EF4-FFF2-40B4-BE49-F238E27FC236}">
              <a16:creationId xmlns:a16="http://schemas.microsoft.com/office/drawing/2014/main" id="{905B343E-099F-D0AB-325E-51A965201B6E}"/>
            </a:ext>
          </a:extLst>
        </xdr:cNvPr>
        <xdr:cNvSpPr/>
      </xdr:nvSpPr>
      <xdr:spPr>
        <a:xfrm>
          <a:off x="9290050" y="3467099"/>
          <a:ext cx="1460500" cy="1460500"/>
        </a:xfrm>
        <a:prstGeom prst="ellipse">
          <a:avLst/>
        </a:prstGeom>
        <a:solidFill>
          <a:srgbClr val="FFFFFF"/>
        </a:solidFill>
        <a:ln w="38100"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498475</xdr:colOff>
      <xdr:row>13</xdr:row>
      <xdr:rowOff>101599</xdr:rowOff>
    </xdr:from>
    <xdr:to>
      <xdr:col>10</xdr:col>
      <xdr:colOff>650875</xdr:colOff>
      <xdr:row>14</xdr:row>
      <xdr:rowOff>6349</xdr:rowOff>
    </xdr:to>
    <xdr:sp macro="" textlink="">
      <xdr:nvSpPr>
        <xdr:cNvPr id="7" name="SFE_CAT_OLHO1">
          <a:extLst>
            <a:ext uri="{FF2B5EF4-FFF2-40B4-BE49-F238E27FC236}">
              <a16:creationId xmlns:a16="http://schemas.microsoft.com/office/drawing/2014/main" id="{2C7CE24E-E32C-6523-774D-E48F8E6AC9A6}"/>
            </a:ext>
          </a:extLst>
        </xdr:cNvPr>
        <xdr:cNvSpPr/>
      </xdr:nvSpPr>
      <xdr:spPr>
        <a:xfrm>
          <a:off x="9613900" y="4006849"/>
          <a:ext cx="152400" cy="152400"/>
        </a:xfrm>
        <a:prstGeom prst="ellipse">
          <a:avLst/>
        </a:prstGeom>
        <a:solidFill>
          <a:srgbClr val="232D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279400</xdr:colOff>
      <xdr:row>13</xdr:row>
      <xdr:rowOff>101599</xdr:rowOff>
    </xdr:from>
    <xdr:to>
      <xdr:col>11</xdr:col>
      <xdr:colOff>431800</xdr:colOff>
      <xdr:row>14</xdr:row>
      <xdr:rowOff>6349</xdr:rowOff>
    </xdr:to>
    <xdr:sp macro="" textlink="">
      <xdr:nvSpPr>
        <xdr:cNvPr id="8" name="SFE_CAT_OLHO2">
          <a:extLst>
            <a:ext uri="{FF2B5EF4-FFF2-40B4-BE49-F238E27FC236}">
              <a16:creationId xmlns:a16="http://schemas.microsoft.com/office/drawing/2014/main" id="{EB13A6DE-8B91-0F8E-3BE6-5E0C868E0C37}"/>
            </a:ext>
          </a:extLst>
        </xdr:cNvPr>
        <xdr:cNvSpPr/>
      </xdr:nvSpPr>
      <xdr:spPr>
        <a:xfrm>
          <a:off x="10299700" y="4006849"/>
          <a:ext cx="152400" cy="152400"/>
        </a:xfrm>
        <a:prstGeom prst="ellipse">
          <a:avLst/>
        </a:prstGeom>
        <a:solidFill>
          <a:srgbClr val="232D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815975</xdr:colOff>
      <xdr:row>14</xdr:row>
      <xdr:rowOff>107949</xdr:rowOff>
    </xdr:from>
    <xdr:to>
      <xdr:col>11</xdr:col>
      <xdr:colOff>88900</xdr:colOff>
      <xdr:row>14</xdr:row>
      <xdr:rowOff>234949</xdr:rowOff>
    </xdr:to>
    <xdr:sp macro="" textlink="">
      <xdr:nvSpPr>
        <xdr:cNvPr id="9" name="SFE_CAT_NARIZ">
          <a:extLst>
            <a:ext uri="{FF2B5EF4-FFF2-40B4-BE49-F238E27FC236}">
              <a16:creationId xmlns:a16="http://schemas.microsoft.com/office/drawing/2014/main" id="{7FAB09A2-D792-79CF-9FCE-19B71B622255}"/>
            </a:ext>
          </a:extLst>
        </xdr:cNvPr>
        <xdr:cNvSpPr/>
      </xdr:nvSpPr>
      <xdr:spPr>
        <a:xfrm rot="10800000">
          <a:off x="9931400" y="4260849"/>
          <a:ext cx="177800" cy="127000"/>
        </a:xfrm>
        <a:prstGeom prst="triangle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142875</xdr:colOff>
      <xdr:row>14</xdr:row>
      <xdr:rowOff>234949</xdr:rowOff>
    </xdr:from>
    <xdr:to>
      <xdr:col>11</xdr:col>
      <xdr:colOff>254000</xdr:colOff>
      <xdr:row>17</xdr:row>
      <xdr:rowOff>225424</xdr:rowOff>
    </xdr:to>
    <xdr:sp macro="" textlink="">
      <xdr:nvSpPr>
        <xdr:cNvPr id="10" name="SFE_CAT_BOCA">
          <a:extLst>
            <a:ext uri="{FF2B5EF4-FFF2-40B4-BE49-F238E27FC236}">
              <a16:creationId xmlns:a16="http://schemas.microsoft.com/office/drawing/2014/main" id="{6DAB3E14-B5BC-6476-A472-603F07B747FA}"/>
            </a:ext>
          </a:extLst>
        </xdr:cNvPr>
        <xdr:cNvSpPr/>
      </xdr:nvSpPr>
      <xdr:spPr>
        <a:xfrm>
          <a:off x="9258300" y="4387849"/>
          <a:ext cx="1016000" cy="762000"/>
        </a:xfrm>
        <a:prstGeom prst="arc">
          <a:avLst/>
        </a:prstGeom>
        <a:ln w="25400">
          <a:solidFill>
            <a:srgbClr val="2E7D3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333375</xdr:colOff>
      <xdr:row>14</xdr:row>
      <xdr:rowOff>146049</xdr:rowOff>
    </xdr:from>
    <xdr:to>
      <xdr:col>10</xdr:col>
      <xdr:colOff>485775</xdr:colOff>
      <xdr:row>14</xdr:row>
      <xdr:rowOff>247649</xdr:rowOff>
    </xdr:to>
    <xdr:sp macro="" textlink="">
      <xdr:nvSpPr>
        <xdr:cNvPr id="11" name="SFE_CAT_BOCHECHA1">
          <a:extLst>
            <a:ext uri="{FF2B5EF4-FFF2-40B4-BE49-F238E27FC236}">
              <a16:creationId xmlns:a16="http://schemas.microsoft.com/office/drawing/2014/main" id="{B91D9120-D000-96E1-EA3A-BCE2FB633CE2}"/>
            </a:ext>
          </a:extLst>
        </xdr:cNvPr>
        <xdr:cNvSpPr/>
      </xdr:nvSpPr>
      <xdr:spPr>
        <a:xfrm>
          <a:off x="9448800" y="4298949"/>
          <a:ext cx="152400" cy="101600"/>
        </a:xfrm>
        <a:prstGeom prst="ellipse">
          <a:avLst/>
        </a:prstGeom>
        <a:solidFill>
          <a:srgbClr val="FFD2D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419100</xdr:colOff>
      <xdr:row>14</xdr:row>
      <xdr:rowOff>146049</xdr:rowOff>
    </xdr:from>
    <xdr:to>
      <xdr:col>11</xdr:col>
      <xdr:colOff>571500</xdr:colOff>
      <xdr:row>14</xdr:row>
      <xdr:rowOff>247649</xdr:rowOff>
    </xdr:to>
    <xdr:sp macro="" textlink="">
      <xdr:nvSpPr>
        <xdr:cNvPr id="12" name="SFE_CAT_BOCHECHA2">
          <a:extLst>
            <a:ext uri="{FF2B5EF4-FFF2-40B4-BE49-F238E27FC236}">
              <a16:creationId xmlns:a16="http://schemas.microsoft.com/office/drawing/2014/main" id="{9BD31E1D-BD93-02CE-1FE3-085BE8188A91}"/>
            </a:ext>
          </a:extLst>
        </xdr:cNvPr>
        <xdr:cNvSpPr/>
      </xdr:nvSpPr>
      <xdr:spPr>
        <a:xfrm>
          <a:off x="10439400" y="4298949"/>
          <a:ext cx="152400" cy="101600"/>
        </a:xfrm>
        <a:prstGeom prst="ellipse">
          <a:avLst/>
        </a:prstGeom>
        <a:solidFill>
          <a:srgbClr val="FFD2D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254000</xdr:colOff>
      <xdr:row>19</xdr:row>
      <xdr:rowOff>225425</xdr:rowOff>
    </xdr:from>
    <xdr:to>
      <xdr:col>12</xdr:col>
      <xdr:colOff>650875</xdr:colOff>
      <xdr:row>22</xdr:row>
      <xdr:rowOff>292100</xdr:rowOff>
    </xdr:to>
    <xdr:sp macro="" textlink="">
      <xdr:nvSpPr>
        <xdr:cNvPr id="13" name="SFE_CAT_MENSAGEM">
          <a:extLst>
            <a:ext uri="{FF2B5EF4-FFF2-40B4-BE49-F238E27FC236}">
              <a16:creationId xmlns:a16="http://schemas.microsoft.com/office/drawing/2014/main" id="{074C3767-4637-13C2-7CC1-6220D508F2E1}"/>
            </a:ext>
          </a:extLst>
        </xdr:cNvPr>
        <xdr:cNvSpPr txBox="1"/>
      </xdr:nvSpPr>
      <xdr:spPr>
        <a:xfrm>
          <a:off x="8464550" y="5759450"/>
          <a:ext cx="3111500" cy="952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Muito bem!</a:t>
          </a:r>
        </a:p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Seu saldo está positivo.</a:t>
          </a:r>
        </a:p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Continue cuidando das suas finanças.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C30EEE-B991-4105-895C-E35525E80944}" name="tblLancamentos" displayName="tblLancamentos" ref="A1:K2" totalsRowShown="0">
  <autoFilter ref="A1:K2" xr:uid="{3CC30EEE-B991-4105-895C-E35525E80944}"/>
  <tableColumns count="11">
    <tableColumn id="1" xr3:uid="{48B18107-362B-42CA-AB44-99790D84A36B}" name="ID"/>
    <tableColumn id="2" xr3:uid="{0DB3AB50-7C08-4F59-BBC4-0837FB2AEACC}" name="Data" dataDxfId="7"/>
    <tableColumn id="3" xr3:uid="{F0257D99-0BD2-4DFE-8158-3A36804BBF45}" name="Tipo"/>
    <tableColumn id="4" xr3:uid="{CBCEF938-EB8C-4719-B86F-D0F70DAE0C96}" name="Categoria"/>
    <tableColumn id="5" xr3:uid="{BFE007AA-EBC9-4BDA-AB34-E0DD4BF8E6E2}" name="Descrição"/>
    <tableColumn id="6" xr3:uid="{D8D55587-EE88-4B73-9D94-2E8F29D212CA}" name="Valor" dataDxfId="6"/>
    <tableColumn id="7" xr3:uid="{F038F566-9FD2-496A-BAF9-C8B8EF8ECEE9}" name="Conta"/>
    <tableColumn id="8" xr3:uid="{978CE4E7-3F5A-4EC4-ABBD-A52C877603EA}" name="Forma de Pagamento"/>
    <tableColumn id="9" xr3:uid="{FCB69ECF-F9FB-41E1-8790-AE905E5D25AD}" name="Status" dataDxfId="5"/>
    <tableColumn id="10" xr3:uid="{1A0A546C-6055-4BEE-983A-E1FC9CF997E5}" name="Observação"/>
    <tableColumn id="11" xr3:uid="{399D4E44-6EC0-4184-A444-0ECC84DD592D}" name="Data de Cadastro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C207E4-D551-4D43-99A9-BE430160A4AA}" name="tblContas" displayName="tblContas" ref="A1:F2" totalsRowShown="0">
  <autoFilter ref="A1:F2" xr:uid="{A4C207E4-D551-4D43-99A9-BE430160A4AA}"/>
  <tableColumns count="6">
    <tableColumn id="1" xr3:uid="{CC7DB012-55F0-4CF9-8C61-231B575A3C51}" name="ID"/>
    <tableColumn id="2" xr3:uid="{FB9B16CF-387B-4451-B556-96B3E4B387B4}" name="Nome da Conta"/>
    <tableColumn id="3" xr3:uid="{9A03830B-1279-4527-8AC3-7C49A7383ED1}" name="Tipo"/>
    <tableColumn id="4" xr3:uid="{CD1DAB93-A7DD-4C32-A46D-7B7D764FBA0C}" name="Instituição"/>
    <tableColumn id="5" xr3:uid="{72FA133D-35DD-40D1-A619-FAF7BD1F4E6E}" name="Saldo Inicial" dataDxfId="3"/>
    <tableColumn id="6" xr3:uid="{D47E7AF2-A2AD-40CA-B304-9B422CA0E0F1}" name="Ativ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5B51EE-79EA-4768-94CA-5577D105830E}" name="tblCategorias" displayName="tblCategorias" ref="A1:D13" totalsRowShown="0">
  <autoFilter ref="A1:D13" xr:uid="{765B51EE-79EA-4768-94CA-5577D105830E}"/>
  <tableColumns count="4">
    <tableColumn id="1" xr3:uid="{0946DF21-A3FD-45A1-AB60-F867998F1214}" name="ID"/>
    <tableColumn id="2" xr3:uid="{075E1847-AE01-4E97-BDF5-88A4F799EDA3}" name="Categoria"/>
    <tableColumn id="3" xr3:uid="{5560FBE1-477F-4E17-9D81-215A6DE65BF3}" name="Tipo"/>
    <tableColumn id="4" xr3:uid="{8E0737AB-FCA6-4805-A30C-7598DAFA11FD}" name="Ativ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4344A0-8AF6-4C3B-B4D8-060CAB294CDC}" name="tblMetas" displayName="tblMetas" ref="A1:G2" insertRow="1" totalsRowShown="0">
  <autoFilter ref="A1:G2" xr:uid="{9C4344A0-8AF6-4C3B-B4D8-060CAB294CDC}"/>
  <tableColumns count="7">
    <tableColumn id="1" xr3:uid="{DC6C0CD4-D289-4E3F-8CC6-24AD80C1E7F7}" name="ID"/>
    <tableColumn id="2" xr3:uid="{A823AAE9-7545-474A-A6A5-6244BC283490}" name="Meta"/>
    <tableColumn id="3" xr3:uid="{AA84B5F4-5F3D-4F99-AA5D-A9C5C96B4368}" name="Categoria"/>
    <tableColumn id="4" xr3:uid="{79ECCED7-BE31-4EB6-B5D7-D138B4E7E4B8}" name="Valor Objetivo" dataDxfId="2"/>
    <tableColumn id="5" xr3:uid="{97501775-6834-47FF-B057-340BE168E8CB}" name="Valor Atual" dataDxfId="1"/>
    <tableColumn id="6" xr3:uid="{E48A0E24-AF55-4486-9DDA-9D2023DB4145}" name="Data Limite" dataDxfId="0"/>
    <tableColumn id="7" xr3:uid="{AB67DE8B-E1A2-4057-A087-88149497D24E}" name="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ABFEA79-43A7-4953-BEAE-3C654CF178F7}" name="tblFormasPagamento" displayName="tblFormasPagamento" ref="A1:D9" totalsRowShown="0">
  <autoFilter ref="A1:D9" xr:uid="{5ABFEA79-43A7-4953-BEAE-3C654CF178F7}"/>
  <tableColumns count="4">
    <tableColumn id="1" xr3:uid="{D30D4C32-1272-4960-AB14-37FE7BC34ABC}" name="ID"/>
    <tableColumn id="2" xr3:uid="{A5CF6AD8-964B-47F1-AF76-C33675584A18}" name="Forma de Pagamento"/>
    <tableColumn id="3" xr3:uid="{1AD385CC-9B74-495A-9DD0-658B9E2CB84B}" name="Tipo"/>
    <tableColumn id="4" xr3:uid="{0972C43C-1724-43D4-BDA3-E648EB89E9CF}" name="Ativ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DEC39A-0AE9-433C-8386-7527E4738AE2}" name="tblConfiguracoes" displayName="tblConfiguracoes" ref="A1:B6" totalsRowShown="0">
  <autoFilter ref="A1:B6" xr:uid="{FBDEC39A-0AE9-433C-8386-7527E4738AE2}"/>
  <tableColumns count="2">
    <tableColumn id="1" xr3:uid="{724BD800-037A-45AE-8018-68AC7B6B52F6}" name="Configuração"/>
    <tableColumn id="2" xr3:uid="{E12D4492-F300-4545-88F7-386BC812731F}" name="Va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C4EED-3813-49B1-B152-E8FBCB2441B5}">
  <sheetPr codeName="Planilha2"/>
  <dimension ref="A1:Z100"/>
  <sheetViews>
    <sheetView showGridLines="0" zoomScale="70" zoomScaleNormal="70" workbookViewId="0">
      <selection activeCell="B12" sqref="B12"/>
    </sheetView>
  </sheetViews>
  <sheetFormatPr defaultColWidth="8.7109375" defaultRowHeight="20.100000000000001" customHeight="1" x14ac:dyDescent="0.25"/>
  <cols>
    <col min="1" max="1" width="13.5703125" style="7" customWidth="1"/>
    <col min="2" max="2" width="14.5703125" style="7" customWidth="1"/>
    <col min="3" max="13" width="13.5703125" style="7" customWidth="1"/>
    <col min="14" max="14" width="13.5703125" style="7" hidden="1" customWidth="1"/>
    <col min="15" max="15" width="0" style="8" hidden="1" customWidth="1"/>
    <col min="16" max="16" width="0" style="7" hidden="1" customWidth="1"/>
    <col min="17" max="17" width="11.5703125" style="7" hidden="1" customWidth="1"/>
    <col min="18" max="18" width="0" style="8" hidden="1" customWidth="1"/>
    <col min="19" max="26" width="0" style="7" hidden="1" customWidth="1"/>
    <col min="27" max="16384" width="8.7109375" style="7"/>
  </cols>
  <sheetData>
    <row r="1" spans="1:26" ht="36" customHeight="1" x14ac:dyDescent="0.25">
      <c r="A1" s="45" t="s">
        <v>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N1" t="s">
        <v>4</v>
      </c>
      <c r="O1" s="4" t="s">
        <v>6</v>
      </c>
      <c r="P1"/>
      <c r="Q1" t="s">
        <v>76</v>
      </c>
      <c r="R1" s="4" t="s">
        <v>70</v>
      </c>
      <c r="S1"/>
      <c r="T1"/>
      <c r="U1"/>
      <c r="V1"/>
      <c r="W1"/>
      <c r="X1"/>
      <c r="Y1"/>
      <c r="Z1"/>
    </row>
    <row r="2" spans="1:26" ht="24" customHeight="1" x14ac:dyDescent="0.25">
      <c r="A2" s="46" t="s">
        <v>97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N2" t="s">
        <v>75</v>
      </c>
      <c r="O2" s="4">
        <v>0</v>
      </c>
      <c r="P2"/>
      <c r="Q2" t="s">
        <v>85</v>
      </c>
      <c r="R2" s="4">
        <v>0</v>
      </c>
      <c r="S2"/>
      <c r="T2"/>
      <c r="U2"/>
      <c r="V2"/>
      <c r="W2"/>
      <c r="X2"/>
      <c r="Y2"/>
      <c r="Z2"/>
    </row>
    <row r="3" spans="1:26" ht="20.100000000000001" customHeight="1" x14ac:dyDescent="0.25">
      <c r="N3"/>
      <c r="O3" s="4"/>
      <c r="P3"/>
      <c r="Q3" t="s">
        <v>86</v>
      </c>
      <c r="R3" s="4">
        <v>0</v>
      </c>
      <c r="S3"/>
      <c r="T3"/>
      <c r="U3"/>
      <c r="V3"/>
      <c r="W3"/>
      <c r="X3"/>
      <c r="Y3"/>
      <c r="Z3"/>
    </row>
    <row r="4" spans="1:26" ht="24" customHeight="1" x14ac:dyDescent="0.25">
      <c r="A4" s="47" t="s">
        <v>64</v>
      </c>
      <c r="B4" s="47"/>
      <c r="C4" s="47"/>
      <c r="D4" s="50" t="s">
        <v>65</v>
      </c>
      <c r="E4" s="50"/>
      <c r="F4" s="50"/>
      <c r="G4" s="52" t="s">
        <v>78</v>
      </c>
      <c r="H4" s="52"/>
      <c r="I4" s="52"/>
      <c r="J4" s="54" t="s">
        <v>66</v>
      </c>
      <c r="K4" s="54"/>
      <c r="L4" s="54"/>
      <c r="N4"/>
      <c r="O4" s="4"/>
      <c r="P4"/>
      <c r="Q4" t="s">
        <v>87</v>
      </c>
      <c r="R4" s="4">
        <v>0</v>
      </c>
      <c r="S4"/>
      <c r="T4"/>
      <c r="U4"/>
      <c r="V4"/>
      <c r="W4"/>
      <c r="X4"/>
      <c r="Y4"/>
      <c r="Z4"/>
    </row>
    <row r="5" spans="1:26" ht="32.1" customHeight="1" x14ac:dyDescent="0.25">
      <c r="A5" s="48">
        <f>SUMIF(Lançamentos!C:C,"Receita",Lançamentos!F:F)</f>
        <v>3600</v>
      </c>
      <c r="B5" s="48"/>
      <c r="C5" s="48"/>
      <c r="D5" s="51">
        <f>SUMIF(Lançamentos!C:C,"Despesa",Lançamentos!F:F)</f>
        <v>0</v>
      </c>
      <c r="E5" s="51"/>
      <c r="F5" s="51"/>
      <c r="G5" s="53">
        <f t="shared" ref="G5" si="0">B12-B13</f>
        <v>3600</v>
      </c>
      <c r="H5" s="53"/>
      <c r="I5" s="53"/>
      <c r="J5" s="55">
        <f>COUNTA(Lançamentos!B:B)-1</f>
        <v>1</v>
      </c>
      <c r="K5" s="55"/>
      <c r="L5" s="55"/>
      <c r="N5"/>
      <c r="O5" s="4"/>
      <c r="P5"/>
      <c r="Q5" t="s">
        <v>88</v>
      </c>
      <c r="R5" s="4">
        <v>0</v>
      </c>
      <c r="S5"/>
      <c r="T5"/>
      <c r="U5"/>
      <c r="V5"/>
      <c r="W5"/>
      <c r="X5"/>
      <c r="Y5"/>
      <c r="Z5"/>
    </row>
    <row r="6" spans="1:26" ht="32.1" customHeight="1" x14ac:dyDescent="0.25">
      <c r="A6" s="48"/>
      <c r="B6" s="48"/>
      <c r="C6" s="48"/>
      <c r="D6" s="51"/>
      <c r="E6" s="51"/>
      <c r="F6" s="51"/>
      <c r="G6" s="53"/>
      <c r="H6" s="53"/>
      <c r="I6" s="53"/>
      <c r="J6" s="55"/>
      <c r="K6" s="55"/>
      <c r="L6" s="55"/>
      <c r="N6"/>
      <c r="O6" s="4"/>
      <c r="P6"/>
      <c r="Q6" t="s">
        <v>89</v>
      </c>
      <c r="R6" s="4">
        <v>0</v>
      </c>
      <c r="S6"/>
      <c r="T6"/>
      <c r="U6"/>
      <c r="V6"/>
      <c r="W6"/>
      <c r="X6"/>
      <c r="Y6"/>
      <c r="Z6"/>
    </row>
    <row r="7" spans="1:26" ht="20.100000000000001" customHeight="1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N7"/>
      <c r="O7" s="4"/>
      <c r="P7"/>
      <c r="Q7" t="s">
        <v>90</v>
      </c>
      <c r="R7" s="4">
        <v>0</v>
      </c>
      <c r="S7"/>
      <c r="T7"/>
      <c r="U7"/>
      <c r="V7"/>
      <c r="W7"/>
      <c r="X7"/>
      <c r="Y7"/>
      <c r="Z7"/>
    </row>
    <row r="8" spans="1:26" ht="20.100000000000001" customHeight="1" x14ac:dyDescent="0.25">
      <c r="N8"/>
      <c r="O8" s="4"/>
      <c r="P8"/>
      <c r="Q8" t="s">
        <v>91</v>
      </c>
      <c r="R8" s="4">
        <v>0</v>
      </c>
      <c r="S8"/>
      <c r="T8"/>
      <c r="U8"/>
      <c r="V8"/>
      <c r="W8"/>
      <c r="X8"/>
      <c r="Y8"/>
      <c r="Z8"/>
    </row>
    <row r="9" spans="1:26" ht="24" customHeight="1" x14ac:dyDescent="0.25">
      <c r="A9" s="17" t="s">
        <v>67</v>
      </c>
      <c r="B9" s="17"/>
      <c r="C9" s="17"/>
      <c r="D9" s="17"/>
      <c r="F9" s="17" t="s">
        <v>72</v>
      </c>
      <c r="G9" s="17"/>
      <c r="H9" s="17"/>
      <c r="I9" s="17"/>
      <c r="J9" s="17"/>
      <c r="K9" s="17"/>
      <c r="L9" s="17"/>
      <c r="N9"/>
      <c r="O9" s="4"/>
      <c r="P9"/>
      <c r="Q9" t="s">
        <v>92</v>
      </c>
      <c r="R9" s="4">
        <v>0</v>
      </c>
      <c r="S9"/>
      <c r="T9"/>
      <c r="U9"/>
      <c r="V9"/>
      <c r="W9"/>
      <c r="X9"/>
      <c r="Y9"/>
      <c r="Z9"/>
    </row>
    <row r="10" spans="1:26" ht="20.100000000000001" customHeight="1" x14ac:dyDescent="0.3">
      <c r="A10" s="62"/>
      <c r="B10" s="62"/>
      <c r="G10" s="62"/>
      <c r="H10" s="62"/>
      <c r="I10" s="62"/>
      <c r="J10" s="62"/>
      <c r="K10" s="62"/>
      <c r="L10" s="62"/>
      <c r="N10"/>
      <c r="O10" s="4"/>
      <c r="P10"/>
      <c r="Q10" t="s">
        <v>93</v>
      </c>
      <c r="R10" s="4">
        <v>3600</v>
      </c>
      <c r="S10"/>
      <c r="T10"/>
      <c r="U10"/>
      <c r="V10"/>
      <c r="W10"/>
      <c r="X10"/>
      <c r="Y10"/>
      <c r="Z10"/>
    </row>
    <row r="11" spans="1:26" ht="20.100000000000001" customHeight="1" x14ac:dyDescent="0.25">
      <c r="A11" s="56" t="s">
        <v>73</v>
      </c>
      <c r="B11" s="56" t="s">
        <v>6</v>
      </c>
      <c r="N11"/>
      <c r="O11" s="4"/>
      <c r="P11"/>
      <c r="Q11" t="s">
        <v>94</v>
      </c>
      <c r="R11" s="4">
        <v>3600</v>
      </c>
      <c r="S11"/>
      <c r="T11"/>
      <c r="U11"/>
      <c r="V11"/>
      <c r="W11"/>
      <c r="X11"/>
      <c r="Y11"/>
      <c r="Z11"/>
    </row>
    <row r="12" spans="1:26" ht="20.100000000000001" customHeight="1" x14ac:dyDescent="0.25">
      <c r="A12" s="57" t="s">
        <v>68</v>
      </c>
      <c r="B12" s="58">
        <f>SUMIF(Lançamentos!C:C,"Receita",Lançamentos!F:F)</f>
        <v>3600</v>
      </c>
      <c r="N12"/>
      <c r="O12" s="4"/>
      <c r="P12"/>
      <c r="Q12" t="s">
        <v>95</v>
      </c>
      <c r="R12" s="4">
        <v>3600</v>
      </c>
      <c r="S12"/>
      <c r="T12"/>
      <c r="U12"/>
      <c r="V12"/>
      <c r="W12"/>
      <c r="X12"/>
      <c r="Y12"/>
      <c r="Z12"/>
    </row>
    <row r="13" spans="1:26" ht="20.100000000000001" customHeight="1" x14ac:dyDescent="0.25">
      <c r="A13" s="57" t="s">
        <v>69</v>
      </c>
      <c r="B13" s="59">
        <f>SUMIF(Lançamentos!C:C,"Despesa",Lançamentos!F:F)</f>
        <v>0</v>
      </c>
      <c r="N13"/>
      <c r="O13" s="4"/>
      <c r="P13"/>
      <c r="Q13" t="s">
        <v>96</v>
      </c>
      <c r="R13" s="4">
        <v>3600</v>
      </c>
      <c r="S13"/>
      <c r="T13"/>
      <c r="U13"/>
      <c r="V13"/>
      <c r="W13"/>
      <c r="X13"/>
      <c r="Y13"/>
      <c r="Z13"/>
    </row>
    <row r="14" spans="1:26" ht="20.100000000000001" customHeight="1" x14ac:dyDescent="0.25">
      <c r="A14" s="57" t="s">
        <v>70</v>
      </c>
      <c r="B14" s="60">
        <f>B12-B13</f>
        <v>3600</v>
      </c>
      <c r="N14"/>
      <c r="O14" s="4"/>
      <c r="P14"/>
      <c r="Q14"/>
      <c r="R14" s="4"/>
      <c r="S14"/>
      <c r="T14"/>
      <c r="U14"/>
      <c r="V14"/>
      <c r="W14"/>
      <c r="X14"/>
      <c r="Y14"/>
      <c r="Z14"/>
    </row>
    <row r="15" spans="1:26" ht="20.100000000000001" customHeight="1" x14ac:dyDescent="0.25">
      <c r="A15" s="57" t="s">
        <v>71</v>
      </c>
      <c r="B15" s="61">
        <f>COUNTA(Lançamentos!B:B)-1</f>
        <v>1</v>
      </c>
      <c r="N15"/>
      <c r="O15" s="4"/>
      <c r="P15"/>
      <c r="Q15"/>
      <c r="R15" s="4"/>
      <c r="S15"/>
      <c r="T15"/>
      <c r="U15"/>
      <c r="V15"/>
      <c r="W15"/>
      <c r="X15"/>
      <c r="Y15"/>
      <c r="Z15"/>
    </row>
    <row r="16" spans="1:26" ht="20.100000000000001" customHeight="1" x14ac:dyDescent="0.25">
      <c r="N16"/>
      <c r="O16" s="4"/>
      <c r="P16"/>
      <c r="Q16"/>
      <c r="R16" s="4"/>
      <c r="S16"/>
      <c r="T16"/>
      <c r="U16"/>
      <c r="V16"/>
      <c r="W16"/>
      <c r="X16"/>
      <c r="Y16"/>
      <c r="Z16"/>
    </row>
    <row r="17" spans="1:26" ht="21.95" customHeight="1" x14ac:dyDescent="0.25">
      <c r="A17" s="17" t="s">
        <v>77</v>
      </c>
      <c r="B17" s="17"/>
      <c r="C17" s="17"/>
      <c r="D17" s="17"/>
      <c r="F17" s="18" t="s">
        <v>81</v>
      </c>
      <c r="G17" s="18"/>
      <c r="H17" s="18"/>
      <c r="I17" s="18"/>
      <c r="J17" s="19" t="s">
        <v>79</v>
      </c>
      <c r="K17" s="20"/>
      <c r="L17" s="21"/>
      <c r="N17"/>
      <c r="O17" s="4"/>
      <c r="P17"/>
      <c r="Q17"/>
      <c r="R17" s="4"/>
      <c r="S17"/>
      <c r="T17"/>
      <c r="U17"/>
      <c r="V17"/>
      <c r="W17"/>
      <c r="X17"/>
      <c r="Y17"/>
      <c r="Z17"/>
    </row>
    <row r="18" spans="1:26" ht="24" customHeight="1" x14ac:dyDescent="0.25">
      <c r="A18" s="43" t="s">
        <v>80</v>
      </c>
      <c r="B18" s="43"/>
      <c r="C18" s="43"/>
      <c r="D18" s="43"/>
      <c r="F18" s="13" t="s">
        <v>68</v>
      </c>
      <c r="G18" s="14">
        <v>3600</v>
      </c>
      <c r="H18" s="10"/>
      <c r="I18" s="10"/>
      <c r="J18" s="22"/>
      <c r="K18" s="23"/>
      <c r="L18" s="24"/>
      <c r="N18"/>
      <c r="O18" s="4"/>
      <c r="P18"/>
      <c r="Q18"/>
      <c r="R18" s="4"/>
      <c r="S18"/>
      <c r="T18"/>
      <c r="U18"/>
      <c r="V18"/>
      <c r="W18"/>
      <c r="X18"/>
      <c r="Y18"/>
      <c r="Z18"/>
    </row>
    <row r="19" spans="1:26" ht="24" customHeight="1" x14ac:dyDescent="0.25">
      <c r="A19" s="43"/>
      <c r="B19" s="43"/>
      <c r="C19" s="43"/>
      <c r="D19" s="43"/>
      <c r="F19" s="13" t="s">
        <v>69</v>
      </c>
      <c r="G19" s="14">
        <v>0</v>
      </c>
      <c r="H19" s="10"/>
      <c r="I19" s="10"/>
      <c r="J19" s="25">
        <v>0.95</v>
      </c>
      <c r="K19" s="26"/>
      <c r="L19" s="27"/>
      <c r="N19"/>
      <c r="O19" s="4"/>
      <c r="P19"/>
      <c r="Q19"/>
      <c r="R19" s="4"/>
      <c r="S19"/>
      <c r="T19"/>
      <c r="U19"/>
      <c r="V19"/>
      <c r="W19"/>
      <c r="X19"/>
      <c r="Y19"/>
      <c r="Z19"/>
    </row>
    <row r="20" spans="1:26" ht="24" customHeight="1" x14ac:dyDescent="0.25">
      <c r="A20" s="43"/>
      <c r="B20" s="43"/>
      <c r="C20" s="43"/>
      <c r="D20" s="43"/>
      <c r="F20" s="13" t="s">
        <v>70</v>
      </c>
      <c r="G20" s="14">
        <v>3600</v>
      </c>
      <c r="H20" s="10"/>
      <c r="I20" s="10"/>
      <c r="J20" s="28"/>
      <c r="K20" s="29"/>
      <c r="L20" s="30"/>
      <c r="N20"/>
      <c r="O20" s="4"/>
      <c r="P20"/>
      <c r="Q20"/>
      <c r="R20" s="4"/>
      <c r="S20"/>
      <c r="T20"/>
      <c r="U20"/>
      <c r="V20"/>
      <c r="W20"/>
      <c r="X20"/>
      <c r="Y20"/>
      <c r="Z20"/>
    </row>
    <row r="21" spans="1:26" ht="24" customHeight="1" x14ac:dyDescent="0.25">
      <c r="A21" s="43"/>
      <c r="B21" s="43"/>
      <c r="C21" s="43"/>
      <c r="D21" s="43"/>
      <c r="F21" s="13" t="s">
        <v>82</v>
      </c>
      <c r="G21" s="15">
        <v>1</v>
      </c>
      <c r="H21" s="10"/>
      <c r="I21" s="10"/>
      <c r="J21" s="31"/>
      <c r="K21" s="32"/>
      <c r="L21" s="33"/>
      <c r="N21"/>
      <c r="O21" s="4"/>
      <c r="P21"/>
      <c r="Q21"/>
      <c r="R21" s="4"/>
      <c r="S21"/>
      <c r="T21"/>
      <c r="U21"/>
      <c r="V21"/>
      <c r="W21"/>
      <c r="X21"/>
      <c r="Y21"/>
      <c r="Z21"/>
    </row>
    <row r="22" spans="1:26" ht="21.95" customHeight="1" x14ac:dyDescent="0.25">
      <c r="A22" s="43"/>
      <c r="B22" s="43"/>
      <c r="C22" s="43"/>
      <c r="D22" s="43"/>
      <c r="F22" s="10"/>
      <c r="G22" s="10"/>
      <c r="H22" s="10"/>
      <c r="I22" s="10"/>
      <c r="J22" s="34" t="s">
        <v>83</v>
      </c>
      <c r="K22" s="35"/>
      <c r="L22" s="36"/>
      <c r="N22"/>
      <c r="O22" s="4"/>
      <c r="P22"/>
      <c r="Q22"/>
      <c r="R22" s="4"/>
      <c r="S22"/>
      <c r="T22"/>
      <c r="U22"/>
      <c r="V22"/>
      <c r="W22"/>
      <c r="X22"/>
      <c r="Y22"/>
      <c r="Z22"/>
    </row>
    <row r="23" spans="1:26" ht="24" customHeight="1" x14ac:dyDescent="0.25">
      <c r="A23" s="43"/>
      <c r="B23" s="43"/>
      <c r="C23" s="43"/>
      <c r="D23" s="43"/>
      <c r="F23" s="10"/>
      <c r="G23" s="10"/>
      <c r="H23" s="10"/>
      <c r="I23" s="10"/>
      <c r="J23" s="37" t="s">
        <v>84</v>
      </c>
      <c r="K23" s="38"/>
      <c r="L23" s="39"/>
      <c r="N23"/>
      <c r="O23" s="4"/>
      <c r="P23"/>
      <c r="Q23"/>
      <c r="R23" s="4"/>
      <c r="S23"/>
      <c r="T23"/>
      <c r="U23"/>
      <c r="V23"/>
      <c r="W23"/>
      <c r="X23"/>
      <c r="Y23"/>
      <c r="Z23"/>
    </row>
    <row r="24" spans="1:26" ht="24" customHeight="1" x14ac:dyDescent="0.25">
      <c r="A24" s="43"/>
      <c r="B24" s="43"/>
      <c r="C24" s="43"/>
      <c r="D24" s="43"/>
      <c r="F24" s="10"/>
      <c r="G24" s="10"/>
      <c r="H24" s="10"/>
      <c r="I24" s="10"/>
      <c r="J24" s="40"/>
      <c r="K24" s="41"/>
      <c r="L24" s="42"/>
      <c r="N24"/>
      <c r="O24" s="4"/>
      <c r="P24"/>
      <c r="Q24"/>
      <c r="R24" s="4"/>
      <c r="S24"/>
      <c r="T24"/>
      <c r="U24"/>
      <c r="V24"/>
      <c r="W24"/>
      <c r="X24"/>
      <c r="Y24"/>
      <c r="Z24"/>
    </row>
    <row r="25" spans="1:26" ht="20.100000000000001" customHeight="1" x14ac:dyDescent="0.25">
      <c r="N25"/>
      <c r="O25" s="4"/>
      <c r="P25"/>
      <c r="Q25"/>
      <c r="R25" s="4"/>
      <c r="S25"/>
      <c r="T25"/>
      <c r="U25"/>
      <c r="V25"/>
      <c r="W25"/>
      <c r="X25"/>
      <c r="Y25"/>
      <c r="Z25"/>
    </row>
    <row r="26" spans="1:26" ht="20.100000000000001" customHeight="1" x14ac:dyDescent="0.25">
      <c r="N26"/>
      <c r="O26" s="4"/>
      <c r="P26"/>
      <c r="Q26"/>
      <c r="R26" s="4"/>
      <c r="S26"/>
      <c r="T26"/>
      <c r="U26"/>
      <c r="V26"/>
      <c r="W26"/>
      <c r="X26"/>
      <c r="Y26"/>
      <c r="Z26"/>
    </row>
    <row r="27" spans="1:26" ht="24" customHeight="1" x14ac:dyDescent="0.25">
      <c r="A27" s="18" t="s">
        <v>74</v>
      </c>
      <c r="B27" s="18"/>
      <c r="C27" s="18"/>
      <c r="D27" s="18"/>
      <c r="E27" s="9"/>
      <c r="F27" s="9"/>
      <c r="G27" s="9"/>
      <c r="H27" s="9"/>
      <c r="I27" s="9"/>
      <c r="J27" s="9"/>
      <c r="K27" s="9"/>
      <c r="L27" s="9"/>
      <c r="N27"/>
      <c r="O27" s="4"/>
      <c r="P27"/>
      <c r="Q27"/>
      <c r="R27" s="4"/>
      <c r="S27"/>
      <c r="T27"/>
      <c r="U27"/>
      <c r="V27"/>
      <c r="W27"/>
      <c r="X27"/>
      <c r="Y27"/>
      <c r="Z27"/>
    </row>
    <row r="28" spans="1:26" ht="20.100000000000001" customHeight="1" x14ac:dyDescent="0.25">
      <c r="A28" s="16" t="s">
        <v>4</v>
      </c>
      <c r="B28" s="16" t="s">
        <v>6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N28"/>
      <c r="O28" s="4"/>
      <c r="P28"/>
      <c r="Q28"/>
      <c r="R28" s="4"/>
      <c r="S28"/>
      <c r="T28"/>
      <c r="U28"/>
      <c r="V28"/>
      <c r="W28"/>
      <c r="X28"/>
      <c r="Y28"/>
      <c r="Z28"/>
    </row>
    <row r="29" spans="1:26" ht="20.100000000000001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N29"/>
      <c r="O29" s="4"/>
      <c r="P29"/>
      <c r="Q29"/>
      <c r="R29" s="4"/>
      <c r="S29"/>
      <c r="T29"/>
      <c r="U29"/>
      <c r="V29"/>
      <c r="W29"/>
      <c r="X29"/>
      <c r="Y29"/>
      <c r="Z29"/>
    </row>
    <row r="30" spans="1:26" ht="20.100000000000001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N30"/>
      <c r="O30" s="4"/>
      <c r="P30"/>
      <c r="Q30"/>
      <c r="R30" s="4"/>
      <c r="S30"/>
      <c r="T30"/>
      <c r="U30"/>
      <c r="V30"/>
      <c r="W30"/>
      <c r="X30"/>
      <c r="Y30"/>
      <c r="Z30"/>
    </row>
    <row r="31" spans="1:26" ht="20.100000000000001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N31"/>
      <c r="O31" s="4"/>
      <c r="P31"/>
      <c r="Q31"/>
      <c r="R31" s="4"/>
      <c r="S31"/>
      <c r="T31"/>
      <c r="U31"/>
      <c r="V31"/>
      <c r="W31"/>
      <c r="X31"/>
      <c r="Y31"/>
      <c r="Z31"/>
    </row>
    <row r="32" spans="1:26" ht="20.100000000000001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N32"/>
      <c r="O32" s="4"/>
      <c r="P32"/>
      <c r="Q32"/>
      <c r="R32" s="4"/>
      <c r="S32"/>
      <c r="T32"/>
      <c r="U32"/>
      <c r="V32"/>
      <c r="W32"/>
      <c r="X32"/>
      <c r="Y32"/>
      <c r="Z32"/>
    </row>
    <row r="33" spans="1:26" ht="20.100000000000001" customHeight="1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N33"/>
      <c r="O33" s="4"/>
      <c r="P33"/>
      <c r="Q33"/>
      <c r="R33" s="4"/>
      <c r="S33"/>
      <c r="T33"/>
      <c r="U33"/>
      <c r="V33"/>
      <c r="W33"/>
      <c r="X33"/>
      <c r="Y33"/>
      <c r="Z33"/>
    </row>
    <row r="34" spans="1:26" ht="20.100000000000001" customHeight="1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N34"/>
      <c r="O34" s="4"/>
      <c r="P34"/>
      <c r="Q34"/>
      <c r="R34" s="4"/>
      <c r="S34"/>
      <c r="T34"/>
      <c r="U34"/>
      <c r="V34"/>
      <c r="W34"/>
      <c r="X34"/>
      <c r="Y34"/>
      <c r="Z34"/>
    </row>
    <row r="35" spans="1:26" ht="20.100000000000001" customHeight="1" x14ac:dyDescent="0.25">
      <c r="N35"/>
      <c r="O35" s="4"/>
      <c r="P35"/>
      <c r="Q35"/>
      <c r="R35" s="4"/>
      <c r="S35"/>
      <c r="T35"/>
      <c r="U35"/>
      <c r="V35"/>
      <c r="W35"/>
      <c r="X35"/>
      <c r="Y35"/>
      <c r="Z35"/>
    </row>
    <row r="36" spans="1:26" ht="20.100000000000001" customHeight="1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N36"/>
      <c r="O36" s="4"/>
      <c r="P36"/>
      <c r="Q36"/>
      <c r="R36" s="4"/>
      <c r="S36"/>
      <c r="T36"/>
      <c r="U36"/>
      <c r="V36"/>
      <c r="W36"/>
      <c r="X36"/>
      <c r="Y36"/>
      <c r="Z36"/>
    </row>
    <row r="37" spans="1:26" ht="20.100000000000001" customHeight="1" x14ac:dyDescent="0.25">
      <c r="N37"/>
      <c r="O37" s="4"/>
      <c r="P37"/>
      <c r="Q37"/>
      <c r="R37" s="4"/>
      <c r="S37"/>
      <c r="T37"/>
      <c r="U37"/>
      <c r="V37"/>
      <c r="W37"/>
      <c r="X37"/>
      <c r="Y37"/>
      <c r="Z37"/>
    </row>
    <row r="38" spans="1:26" ht="20.100000000000001" customHeight="1" x14ac:dyDescent="0.25">
      <c r="N38"/>
      <c r="O38" s="4"/>
      <c r="P38"/>
      <c r="Q38"/>
      <c r="R38" s="4"/>
      <c r="S38"/>
      <c r="T38"/>
      <c r="U38"/>
      <c r="V38"/>
      <c r="W38"/>
      <c r="X38"/>
      <c r="Y38"/>
      <c r="Z38"/>
    </row>
    <row r="39" spans="1:26" ht="20.100000000000001" customHeight="1" x14ac:dyDescent="0.25">
      <c r="N39"/>
      <c r="O39" s="4"/>
      <c r="P39"/>
      <c r="Q39"/>
      <c r="R39" s="4"/>
      <c r="S39"/>
      <c r="T39"/>
      <c r="U39"/>
      <c r="V39"/>
      <c r="W39"/>
      <c r="X39"/>
      <c r="Y39"/>
      <c r="Z39"/>
    </row>
    <row r="40" spans="1:26" ht="20.100000000000001" customHeight="1" x14ac:dyDescent="0.25">
      <c r="N40"/>
      <c r="O40" s="4"/>
      <c r="P40"/>
      <c r="Q40"/>
      <c r="R40" s="4"/>
      <c r="S40"/>
      <c r="T40"/>
      <c r="U40"/>
      <c r="V40"/>
      <c r="W40"/>
      <c r="X40"/>
      <c r="Y40"/>
      <c r="Z40"/>
    </row>
    <row r="41" spans="1:26" ht="20.100000000000001" customHeight="1" x14ac:dyDescent="0.25">
      <c r="N41"/>
      <c r="O41" s="4"/>
      <c r="P41"/>
      <c r="Q41"/>
      <c r="R41" s="4"/>
      <c r="S41"/>
      <c r="T41"/>
      <c r="U41"/>
      <c r="V41"/>
      <c r="W41"/>
      <c r="X41"/>
      <c r="Y41"/>
      <c r="Z41"/>
    </row>
    <row r="42" spans="1:26" ht="20.100000000000001" customHeight="1" x14ac:dyDescent="0.25">
      <c r="N42"/>
      <c r="O42" s="4"/>
      <c r="P42"/>
      <c r="Q42"/>
      <c r="R42" s="4"/>
      <c r="S42"/>
      <c r="T42"/>
      <c r="U42"/>
      <c r="V42"/>
      <c r="W42"/>
      <c r="X42"/>
      <c r="Y42"/>
      <c r="Z42"/>
    </row>
    <row r="43" spans="1:26" ht="20.100000000000001" customHeight="1" x14ac:dyDescent="0.25">
      <c r="N43"/>
      <c r="O43" s="4"/>
      <c r="P43"/>
      <c r="Q43"/>
      <c r="R43" s="4"/>
      <c r="S43"/>
      <c r="T43"/>
      <c r="U43"/>
      <c r="V43"/>
      <c r="W43"/>
      <c r="X43"/>
      <c r="Y43"/>
      <c r="Z43"/>
    </row>
    <row r="44" spans="1:26" ht="20.100000000000001" customHeight="1" x14ac:dyDescent="0.25">
      <c r="N44"/>
      <c r="O44" s="4"/>
      <c r="P44"/>
      <c r="Q44"/>
      <c r="R44" s="4"/>
      <c r="S44"/>
      <c r="T44"/>
      <c r="U44"/>
      <c r="V44"/>
      <c r="W44"/>
      <c r="X44"/>
      <c r="Y44"/>
      <c r="Z44"/>
    </row>
    <row r="45" spans="1:26" ht="20.100000000000001" customHeight="1" x14ac:dyDescent="0.25">
      <c r="N45"/>
      <c r="O45" s="4"/>
      <c r="P45"/>
      <c r="Q45"/>
      <c r="R45" s="4"/>
      <c r="S45"/>
      <c r="T45"/>
      <c r="U45"/>
      <c r="V45"/>
      <c r="W45"/>
      <c r="X45"/>
      <c r="Y45"/>
      <c r="Z45"/>
    </row>
    <row r="46" spans="1:26" ht="20.100000000000001" customHeight="1" x14ac:dyDescent="0.25">
      <c r="N46"/>
      <c r="O46" s="4"/>
      <c r="P46"/>
      <c r="Q46"/>
      <c r="R46" s="4"/>
      <c r="S46"/>
      <c r="T46"/>
      <c r="U46"/>
      <c r="V46"/>
      <c r="W46"/>
      <c r="X46"/>
      <c r="Y46"/>
      <c r="Z46"/>
    </row>
    <row r="47" spans="1:26" ht="20.100000000000001" customHeight="1" x14ac:dyDescent="0.25">
      <c r="N47"/>
      <c r="O47" s="4"/>
      <c r="P47"/>
      <c r="Q47"/>
      <c r="R47" s="4"/>
      <c r="S47"/>
      <c r="T47"/>
      <c r="U47"/>
      <c r="V47"/>
      <c r="W47"/>
      <c r="X47"/>
      <c r="Y47"/>
      <c r="Z47"/>
    </row>
    <row r="48" spans="1:26" ht="20.100000000000001" customHeight="1" x14ac:dyDescent="0.25">
      <c r="N48"/>
      <c r="O48" s="4"/>
      <c r="P48"/>
      <c r="Q48"/>
      <c r="R48" s="4"/>
      <c r="S48"/>
      <c r="T48"/>
      <c r="U48"/>
      <c r="V48"/>
      <c r="W48"/>
      <c r="X48"/>
      <c r="Y48"/>
      <c r="Z48"/>
    </row>
    <row r="49" spans="14:26" ht="20.100000000000001" customHeight="1" x14ac:dyDescent="0.25">
      <c r="N49"/>
      <c r="O49" s="4"/>
      <c r="P49"/>
      <c r="Q49"/>
      <c r="R49" s="4"/>
      <c r="S49"/>
      <c r="T49"/>
      <c r="U49"/>
      <c r="V49"/>
      <c r="W49"/>
      <c r="X49"/>
      <c r="Y49"/>
      <c r="Z49"/>
    </row>
    <row r="50" spans="14:26" ht="20.100000000000001" customHeight="1" x14ac:dyDescent="0.25">
      <c r="N50"/>
      <c r="O50" s="4"/>
      <c r="P50"/>
      <c r="Q50"/>
      <c r="R50" s="4"/>
      <c r="S50"/>
      <c r="T50"/>
      <c r="U50"/>
      <c r="V50"/>
      <c r="W50"/>
      <c r="X50"/>
      <c r="Y50"/>
      <c r="Z50"/>
    </row>
    <row r="51" spans="14:26" ht="20.100000000000001" customHeight="1" x14ac:dyDescent="0.25">
      <c r="N51"/>
      <c r="O51" s="4"/>
      <c r="P51"/>
      <c r="Q51"/>
      <c r="R51" s="4"/>
      <c r="S51"/>
      <c r="T51"/>
      <c r="U51"/>
      <c r="V51"/>
      <c r="W51"/>
      <c r="X51"/>
      <c r="Y51"/>
      <c r="Z51"/>
    </row>
    <row r="52" spans="14:26" ht="20.100000000000001" customHeight="1" x14ac:dyDescent="0.25">
      <c r="N52"/>
      <c r="O52" s="4"/>
      <c r="P52"/>
      <c r="Q52"/>
      <c r="R52" s="4"/>
      <c r="S52"/>
      <c r="T52"/>
      <c r="U52"/>
      <c r="V52"/>
      <c r="W52"/>
      <c r="X52"/>
      <c r="Y52"/>
      <c r="Z52"/>
    </row>
    <row r="53" spans="14:26" ht="20.100000000000001" customHeight="1" x14ac:dyDescent="0.25">
      <c r="N53"/>
      <c r="O53" s="4"/>
      <c r="P53"/>
      <c r="Q53"/>
      <c r="R53" s="4"/>
      <c r="S53"/>
      <c r="T53"/>
      <c r="U53"/>
      <c r="V53"/>
      <c r="W53"/>
      <c r="X53"/>
      <c r="Y53"/>
      <c r="Z53"/>
    </row>
    <row r="54" spans="14:26" ht="20.100000000000001" customHeight="1" x14ac:dyDescent="0.25">
      <c r="N54"/>
      <c r="O54" s="4"/>
      <c r="P54"/>
      <c r="Q54"/>
      <c r="R54" s="4"/>
      <c r="S54"/>
      <c r="T54"/>
      <c r="U54"/>
      <c r="V54"/>
      <c r="W54"/>
      <c r="X54"/>
      <c r="Y54"/>
      <c r="Z54"/>
    </row>
    <row r="55" spans="14:26" ht="20.100000000000001" customHeight="1" x14ac:dyDescent="0.25">
      <c r="N55"/>
      <c r="O55" s="4"/>
      <c r="P55"/>
      <c r="Q55"/>
      <c r="R55" s="4"/>
      <c r="S55"/>
      <c r="T55"/>
      <c r="U55"/>
      <c r="V55"/>
      <c r="W55"/>
      <c r="X55"/>
      <c r="Y55"/>
      <c r="Z55"/>
    </row>
    <row r="56" spans="14:26" ht="20.100000000000001" customHeight="1" x14ac:dyDescent="0.25">
      <c r="N56"/>
      <c r="O56" s="4"/>
      <c r="P56"/>
      <c r="Q56"/>
      <c r="R56" s="4"/>
      <c r="S56"/>
      <c r="T56"/>
      <c r="U56"/>
      <c r="V56"/>
      <c r="W56"/>
      <c r="X56"/>
      <c r="Y56"/>
      <c r="Z56"/>
    </row>
    <row r="57" spans="14:26" ht="20.100000000000001" customHeight="1" x14ac:dyDescent="0.25">
      <c r="N57"/>
      <c r="O57" s="4"/>
      <c r="P57"/>
      <c r="Q57"/>
      <c r="R57" s="4"/>
      <c r="S57"/>
      <c r="T57"/>
      <c r="U57"/>
      <c r="V57"/>
      <c r="W57"/>
      <c r="X57"/>
      <c r="Y57"/>
      <c r="Z57"/>
    </row>
    <row r="58" spans="14:26" ht="20.100000000000001" customHeight="1" x14ac:dyDescent="0.25">
      <c r="N58"/>
      <c r="O58" s="4"/>
      <c r="P58"/>
      <c r="Q58"/>
      <c r="R58" s="4"/>
      <c r="S58"/>
      <c r="T58"/>
      <c r="U58"/>
      <c r="V58"/>
      <c r="W58"/>
      <c r="X58"/>
      <c r="Y58"/>
      <c r="Z58"/>
    </row>
    <row r="59" spans="14:26" ht="20.100000000000001" customHeight="1" x14ac:dyDescent="0.25">
      <c r="N59"/>
      <c r="O59" s="4"/>
      <c r="P59"/>
      <c r="Q59"/>
      <c r="R59" s="4"/>
      <c r="S59"/>
      <c r="T59"/>
      <c r="U59"/>
      <c r="V59"/>
      <c r="W59"/>
      <c r="X59"/>
      <c r="Y59"/>
      <c r="Z59"/>
    </row>
    <row r="60" spans="14:26" ht="20.100000000000001" customHeight="1" x14ac:dyDescent="0.25">
      <c r="N60"/>
      <c r="O60" s="4"/>
      <c r="P60"/>
      <c r="Q60"/>
      <c r="R60" s="4"/>
      <c r="S60"/>
      <c r="T60"/>
      <c r="U60"/>
      <c r="V60"/>
      <c r="W60"/>
      <c r="X60"/>
      <c r="Y60"/>
      <c r="Z60"/>
    </row>
    <row r="61" spans="14:26" ht="20.100000000000001" customHeight="1" x14ac:dyDescent="0.25">
      <c r="N61"/>
      <c r="O61" s="4"/>
      <c r="P61"/>
      <c r="Q61"/>
      <c r="R61" s="4"/>
      <c r="S61"/>
      <c r="T61"/>
      <c r="U61"/>
      <c r="V61"/>
      <c r="W61"/>
      <c r="X61"/>
      <c r="Y61"/>
      <c r="Z61"/>
    </row>
    <row r="62" spans="14:26" ht="20.100000000000001" customHeight="1" x14ac:dyDescent="0.25">
      <c r="N62"/>
      <c r="O62" s="4"/>
      <c r="P62"/>
      <c r="Q62"/>
      <c r="R62" s="4"/>
      <c r="S62"/>
      <c r="T62"/>
      <c r="U62"/>
      <c r="V62"/>
      <c r="W62"/>
      <c r="X62"/>
      <c r="Y62"/>
      <c r="Z62"/>
    </row>
    <row r="63" spans="14:26" ht="20.100000000000001" customHeight="1" x14ac:dyDescent="0.25">
      <c r="N63"/>
      <c r="O63" s="4"/>
      <c r="P63"/>
      <c r="Q63"/>
      <c r="R63" s="4"/>
      <c r="S63"/>
      <c r="T63"/>
      <c r="U63"/>
      <c r="V63"/>
      <c r="W63"/>
      <c r="X63"/>
      <c r="Y63"/>
      <c r="Z63"/>
    </row>
    <row r="64" spans="14:26" ht="20.100000000000001" customHeight="1" x14ac:dyDescent="0.25">
      <c r="N64"/>
      <c r="O64" s="4"/>
      <c r="P64"/>
      <c r="Q64"/>
      <c r="R64" s="4"/>
      <c r="S64"/>
      <c r="T64"/>
      <c r="U64"/>
      <c r="V64"/>
      <c r="W64"/>
      <c r="X64"/>
      <c r="Y64"/>
      <c r="Z64"/>
    </row>
    <row r="65" spans="14:26" ht="20.100000000000001" customHeight="1" x14ac:dyDescent="0.25">
      <c r="N65"/>
      <c r="O65" s="4"/>
      <c r="P65"/>
      <c r="Q65"/>
      <c r="R65" s="4"/>
      <c r="S65"/>
      <c r="T65"/>
      <c r="U65"/>
      <c r="V65"/>
      <c r="W65"/>
      <c r="X65"/>
      <c r="Y65"/>
      <c r="Z65"/>
    </row>
    <row r="66" spans="14:26" ht="20.100000000000001" customHeight="1" x14ac:dyDescent="0.25">
      <c r="N66"/>
      <c r="O66" s="4"/>
      <c r="P66"/>
      <c r="Q66"/>
      <c r="R66" s="4"/>
      <c r="S66"/>
      <c r="T66"/>
      <c r="U66"/>
      <c r="V66"/>
      <c r="W66"/>
      <c r="X66"/>
      <c r="Y66"/>
      <c r="Z66"/>
    </row>
    <row r="67" spans="14:26" ht="20.100000000000001" customHeight="1" x14ac:dyDescent="0.25">
      <c r="N67"/>
      <c r="O67" s="4"/>
      <c r="P67"/>
      <c r="Q67"/>
      <c r="R67" s="4"/>
      <c r="S67"/>
      <c r="T67"/>
      <c r="U67"/>
      <c r="V67"/>
      <c r="W67"/>
      <c r="X67"/>
      <c r="Y67"/>
      <c r="Z67"/>
    </row>
    <row r="68" spans="14:26" ht="20.100000000000001" customHeight="1" x14ac:dyDescent="0.25">
      <c r="N68"/>
      <c r="O68" s="4"/>
      <c r="P68"/>
      <c r="Q68"/>
      <c r="R68" s="4"/>
      <c r="S68"/>
      <c r="T68"/>
      <c r="U68"/>
      <c r="V68"/>
      <c r="W68"/>
      <c r="X68"/>
      <c r="Y68"/>
      <c r="Z68"/>
    </row>
    <row r="69" spans="14:26" ht="20.100000000000001" customHeight="1" x14ac:dyDescent="0.25">
      <c r="N69"/>
      <c r="O69" s="4"/>
      <c r="P69"/>
      <c r="Q69"/>
      <c r="R69" s="4"/>
      <c r="S69"/>
      <c r="T69"/>
      <c r="U69"/>
      <c r="V69"/>
      <c r="W69"/>
      <c r="X69"/>
      <c r="Y69"/>
      <c r="Z69"/>
    </row>
    <row r="70" spans="14:26" ht="20.100000000000001" customHeight="1" x14ac:dyDescent="0.25">
      <c r="N70"/>
      <c r="O70" s="4"/>
      <c r="P70"/>
      <c r="Q70"/>
      <c r="R70" s="4"/>
      <c r="S70"/>
      <c r="T70"/>
      <c r="U70"/>
      <c r="V70"/>
      <c r="W70"/>
      <c r="X70"/>
      <c r="Y70"/>
      <c r="Z70"/>
    </row>
    <row r="71" spans="14:26" ht="20.100000000000001" customHeight="1" x14ac:dyDescent="0.25">
      <c r="N71"/>
      <c r="O71" s="4"/>
      <c r="P71"/>
      <c r="Q71"/>
      <c r="R71" s="4"/>
      <c r="S71"/>
      <c r="T71"/>
      <c r="U71"/>
      <c r="V71"/>
      <c r="W71"/>
      <c r="X71"/>
      <c r="Y71"/>
      <c r="Z71"/>
    </row>
    <row r="72" spans="14:26" ht="20.100000000000001" customHeight="1" x14ac:dyDescent="0.25">
      <c r="N72"/>
      <c r="O72" s="4"/>
      <c r="P72"/>
      <c r="Q72"/>
      <c r="R72" s="4"/>
      <c r="S72"/>
      <c r="T72"/>
      <c r="U72"/>
      <c r="V72"/>
      <c r="W72"/>
      <c r="X72"/>
      <c r="Y72"/>
      <c r="Z72"/>
    </row>
    <row r="73" spans="14:26" ht="20.100000000000001" customHeight="1" x14ac:dyDescent="0.25">
      <c r="N73"/>
      <c r="O73" s="4"/>
      <c r="P73"/>
      <c r="Q73"/>
      <c r="R73" s="4"/>
      <c r="S73"/>
      <c r="T73"/>
      <c r="U73"/>
      <c r="V73"/>
      <c r="W73"/>
      <c r="X73"/>
      <c r="Y73"/>
      <c r="Z73"/>
    </row>
    <row r="74" spans="14:26" ht="20.100000000000001" customHeight="1" x14ac:dyDescent="0.25">
      <c r="N74"/>
      <c r="O74" s="4"/>
      <c r="P74"/>
      <c r="Q74"/>
      <c r="R74" s="4"/>
      <c r="S74"/>
      <c r="T74"/>
      <c r="U74"/>
      <c r="V74"/>
      <c r="W74"/>
      <c r="X74"/>
      <c r="Y74"/>
      <c r="Z74"/>
    </row>
    <row r="75" spans="14:26" ht="20.100000000000001" customHeight="1" x14ac:dyDescent="0.25">
      <c r="N75"/>
      <c r="O75" s="4"/>
      <c r="P75"/>
      <c r="Q75"/>
      <c r="R75" s="4"/>
      <c r="S75"/>
      <c r="T75"/>
      <c r="U75"/>
      <c r="V75"/>
      <c r="W75"/>
      <c r="X75"/>
      <c r="Y75"/>
      <c r="Z75"/>
    </row>
    <row r="76" spans="14:26" ht="20.100000000000001" customHeight="1" x14ac:dyDescent="0.25">
      <c r="N76"/>
      <c r="O76" s="4"/>
      <c r="P76"/>
      <c r="Q76"/>
      <c r="R76" s="4"/>
      <c r="S76"/>
      <c r="T76"/>
      <c r="U76"/>
      <c r="V76"/>
      <c r="W76"/>
      <c r="X76"/>
      <c r="Y76"/>
      <c r="Z76"/>
    </row>
    <row r="77" spans="14:26" ht="20.100000000000001" customHeight="1" x14ac:dyDescent="0.25">
      <c r="N77"/>
      <c r="O77" s="4"/>
      <c r="P77"/>
      <c r="Q77"/>
      <c r="R77" s="4"/>
      <c r="S77"/>
      <c r="T77"/>
      <c r="U77"/>
      <c r="V77"/>
      <c r="W77"/>
      <c r="X77"/>
      <c r="Y77"/>
      <c r="Z77"/>
    </row>
    <row r="78" spans="14:26" ht="20.100000000000001" customHeight="1" x14ac:dyDescent="0.25">
      <c r="N78"/>
      <c r="O78" s="4"/>
      <c r="P78"/>
      <c r="Q78"/>
      <c r="R78" s="4"/>
      <c r="S78"/>
      <c r="T78"/>
      <c r="U78"/>
      <c r="V78"/>
      <c r="W78"/>
      <c r="X78"/>
      <c r="Y78"/>
      <c r="Z78"/>
    </row>
    <row r="79" spans="14:26" ht="20.100000000000001" customHeight="1" x14ac:dyDescent="0.25">
      <c r="N79"/>
      <c r="O79" s="4"/>
      <c r="P79"/>
      <c r="Q79"/>
      <c r="R79" s="4"/>
      <c r="S79"/>
      <c r="T79"/>
      <c r="U79"/>
      <c r="V79"/>
      <c r="W79"/>
      <c r="X79"/>
      <c r="Y79"/>
      <c r="Z79"/>
    </row>
    <row r="80" spans="14:26" ht="20.100000000000001" customHeight="1" x14ac:dyDescent="0.25">
      <c r="N80"/>
      <c r="O80" s="4"/>
      <c r="P80"/>
      <c r="Q80"/>
      <c r="R80" s="4"/>
      <c r="S80"/>
      <c r="T80"/>
      <c r="U80"/>
      <c r="V80"/>
      <c r="W80"/>
      <c r="X80"/>
      <c r="Y80"/>
      <c r="Z80"/>
    </row>
    <row r="81" spans="14:26" ht="20.100000000000001" customHeight="1" x14ac:dyDescent="0.25">
      <c r="N81"/>
      <c r="O81" s="4"/>
      <c r="P81"/>
      <c r="Q81"/>
      <c r="R81" s="4"/>
      <c r="S81"/>
      <c r="T81"/>
      <c r="U81"/>
      <c r="V81"/>
      <c r="W81"/>
      <c r="X81"/>
      <c r="Y81"/>
      <c r="Z81"/>
    </row>
    <row r="82" spans="14:26" ht="20.100000000000001" customHeight="1" x14ac:dyDescent="0.25">
      <c r="N82"/>
      <c r="O82" s="4"/>
      <c r="P82"/>
      <c r="Q82"/>
      <c r="R82" s="4"/>
      <c r="S82"/>
      <c r="T82"/>
      <c r="U82"/>
      <c r="V82"/>
      <c r="W82"/>
      <c r="X82"/>
      <c r="Y82"/>
      <c r="Z82"/>
    </row>
    <row r="83" spans="14:26" ht="20.100000000000001" customHeight="1" x14ac:dyDescent="0.25">
      <c r="N83"/>
      <c r="O83" s="4"/>
      <c r="P83"/>
      <c r="Q83"/>
      <c r="R83" s="4"/>
      <c r="S83"/>
      <c r="T83"/>
      <c r="U83"/>
      <c r="V83"/>
      <c r="W83"/>
      <c r="X83"/>
      <c r="Y83"/>
      <c r="Z83"/>
    </row>
    <row r="84" spans="14:26" ht="20.100000000000001" customHeight="1" x14ac:dyDescent="0.25">
      <c r="N84"/>
      <c r="O84" s="4"/>
      <c r="P84"/>
      <c r="Q84"/>
      <c r="R84" s="4"/>
      <c r="S84"/>
      <c r="T84"/>
      <c r="U84"/>
      <c r="V84"/>
      <c r="W84"/>
      <c r="X84"/>
      <c r="Y84"/>
      <c r="Z84"/>
    </row>
    <row r="85" spans="14:26" ht="20.100000000000001" customHeight="1" x14ac:dyDescent="0.25">
      <c r="N85"/>
      <c r="O85" s="4"/>
      <c r="P85"/>
      <c r="Q85"/>
      <c r="R85" s="4"/>
      <c r="S85"/>
      <c r="T85"/>
      <c r="U85"/>
      <c r="V85"/>
      <c r="W85"/>
      <c r="X85"/>
      <c r="Y85"/>
      <c r="Z85"/>
    </row>
    <row r="86" spans="14:26" ht="20.100000000000001" customHeight="1" x14ac:dyDescent="0.25">
      <c r="N86"/>
      <c r="O86" s="4"/>
      <c r="P86"/>
      <c r="Q86"/>
      <c r="R86" s="4"/>
      <c r="S86"/>
      <c r="T86"/>
      <c r="U86"/>
      <c r="V86"/>
      <c r="W86"/>
      <c r="X86"/>
      <c r="Y86"/>
      <c r="Z86"/>
    </row>
    <row r="87" spans="14:26" ht="20.100000000000001" customHeight="1" x14ac:dyDescent="0.25">
      <c r="N87"/>
      <c r="O87" s="4"/>
      <c r="P87"/>
      <c r="Q87"/>
      <c r="R87" s="4"/>
      <c r="S87"/>
      <c r="T87"/>
      <c r="U87"/>
      <c r="V87"/>
      <c r="W87"/>
      <c r="X87"/>
      <c r="Y87"/>
      <c r="Z87"/>
    </row>
    <row r="88" spans="14:26" ht="20.100000000000001" customHeight="1" x14ac:dyDescent="0.25">
      <c r="N88"/>
      <c r="O88" s="4"/>
      <c r="P88"/>
      <c r="Q88"/>
      <c r="R88" s="4"/>
      <c r="S88"/>
      <c r="T88"/>
      <c r="U88"/>
      <c r="V88"/>
      <c r="W88"/>
      <c r="X88"/>
      <c r="Y88"/>
      <c r="Z88"/>
    </row>
    <row r="89" spans="14:26" ht="20.100000000000001" customHeight="1" x14ac:dyDescent="0.25">
      <c r="N89"/>
      <c r="O89" s="4"/>
      <c r="P89"/>
      <c r="Q89"/>
      <c r="R89" s="4"/>
      <c r="S89"/>
      <c r="T89"/>
      <c r="U89"/>
      <c r="V89"/>
      <c r="W89"/>
      <c r="X89"/>
      <c r="Y89"/>
      <c r="Z89"/>
    </row>
    <row r="90" spans="14:26" ht="20.100000000000001" customHeight="1" x14ac:dyDescent="0.25">
      <c r="N90"/>
      <c r="O90" s="4"/>
      <c r="P90"/>
      <c r="Q90"/>
      <c r="R90" s="4"/>
      <c r="S90"/>
      <c r="T90"/>
      <c r="U90"/>
      <c r="V90"/>
      <c r="W90"/>
      <c r="X90"/>
      <c r="Y90"/>
      <c r="Z90"/>
    </row>
    <row r="91" spans="14:26" ht="20.100000000000001" customHeight="1" x14ac:dyDescent="0.25">
      <c r="N91"/>
      <c r="O91" s="4"/>
      <c r="P91"/>
      <c r="Q91"/>
      <c r="R91" s="4"/>
      <c r="S91"/>
      <c r="T91"/>
      <c r="U91"/>
      <c r="V91"/>
      <c r="W91"/>
      <c r="X91"/>
      <c r="Y91"/>
      <c r="Z91"/>
    </row>
    <row r="92" spans="14:26" ht="20.100000000000001" customHeight="1" x14ac:dyDescent="0.25">
      <c r="N92"/>
      <c r="O92" s="4"/>
      <c r="P92"/>
      <c r="Q92"/>
      <c r="R92" s="4"/>
      <c r="S92"/>
      <c r="T92"/>
      <c r="U92"/>
      <c r="V92"/>
      <c r="W92"/>
      <c r="X92"/>
      <c r="Y92"/>
      <c r="Z92"/>
    </row>
    <row r="93" spans="14:26" ht="20.100000000000001" customHeight="1" x14ac:dyDescent="0.25">
      <c r="N93"/>
      <c r="O93" s="4"/>
      <c r="P93"/>
      <c r="Q93"/>
      <c r="R93" s="4"/>
      <c r="S93"/>
      <c r="T93"/>
      <c r="U93"/>
      <c r="V93"/>
      <c r="W93"/>
      <c r="X93"/>
      <c r="Y93"/>
      <c r="Z93"/>
    </row>
    <row r="94" spans="14:26" ht="20.100000000000001" customHeight="1" x14ac:dyDescent="0.25">
      <c r="N94"/>
      <c r="O94" s="4"/>
      <c r="P94"/>
      <c r="Q94"/>
      <c r="R94" s="4"/>
      <c r="S94"/>
      <c r="T94"/>
      <c r="U94"/>
      <c r="V94"/>
      <c r="W94"/>
      <c r="X94"/>
      <c r="Y94"/>
      <c r="Z94"/>
    </row>
    <row r="95" spans="14:26" ht="20.100000000000001" customHeight="1" x14ac:dyDescent="0.25">
      <c r="N95"/>
      <c r="O95" s="4"/>
      <c r="P95"/>
      <c r="Q95"/>
      <c r="R95" s="4"/>
      <c r="S95"/>
      <c r="T95"/>
      <c r="U95"/>
      <c r="V95"/>
      <c r="W95"/>
      <c r="X95"/>
      <c r="Y95"/>
      <c r="Z95"/>
    </row>
    <row r="96" spans="14:26" ht="20.100000000000001" customHeight="1" x14ac:dyDescent="0.25">
      <c r="N96"/>
      <c r="O96" s="4"/>
      <c r="P96"/>
      <c r="Q96"/>
      <c r="R96" s="4"/>
      <c r="S96"/>
      <c r="T96"/>
      <c r="U96"/>
      <c r="V96"/>
      <c r="W96"/>
      <c r="X96"/>
      <c r="Y96"/>
      <c r="Z96"/>
    </row>
    <row r="97" spans="14:26" ht="20.100000000000001" customHeight="1" x14ac:dyDescent="0.25">
      <c r="N97"/>
      <c r="O97" s="4"/>
      <c r="P97"/>
      <c r="Q97"/>
      <c r="R97" s="4"/>
      <c r="S97"/>
      <c r="T97"/>
      <c r="U97"/>
      <c r="V97"/>
      <c r="W97"/>
      <c r="X97"/>
      <c r="Y97"/>
      <c r="Z97"/>
    </row>
    <row r="98" spans="14:26" ht="20.100000000000001" customHeight="1" x14ac:dyDescent="0.25">
      <c r="N98"/>
      <c r="O98" s="4"/>
      <c r="P98"/>
      <c r="Q98"/>
      <c r="R98" s="4"/>
      <c r="S98"/>
      <c r="T98"/>
      <c r="U98"/>
      <c r="V98"/>
      <c r="W98"/>
      <c r="X98"/>
      <c r="Y98"/>
      <c r="Z98"/>
    </row>
    <row r="99" spans="14:26" ht="20.100000000000001" customHeight="1" x14ac:dyDescent="0.25">
      <c r="N99"/>
      <c r="O99" s="4"/>
      <c r="P99"/>
      <c r="Q99"/>
      <c r="R99" s="4"/>
      <c r="S99"/>
      <c r="T99"/>
      <c r="U99"/>
      <c r="V99"/>
      <c r="W99"/>
      <c r="X99"/>
      <c r="Y99"/>
      <c r="Z99"/>
    </row>
    <row r="100" spans="14:26" ht="20.100000000000001" customHeight="1" x14ac:dyDescent="0.25">
      <c r="N100"/>
      <c r="O100" s="4"/>
      <c r="P100"/>
      <c r="Q100"/>
      <c r="R100" s="4"/>
      <c r="S100"/>
      <c r="T100"/>
      <c r="U100"/>
      <c r="V100"/>
      <c r="W100"/>
      <c r="X100"/>
      <c r="Y100"/>
      <c r="Z100"/>
    </row>
  </sheetData>
  <mergeCells count="20">
    <mergeCell ref="A27:D27"/>
    <mergeCell ref="J17:L18"/>
    <mergeCell ref="J19:L21"/>
    <mergeCell ref="J22:L22"/>
    <mergeCell ref="J23:L24"/>
    <mergeCell ref="A17:D17"/>
    <mergeCell ref="A18:D24"/>
    <mergeCell ref="F17:I17"/>
    <mergeCell ref="A5:C6"/>
    <mergeCell ref="D5:F6"/>
    <mergeCell ref="G5:I6"/>
    <mergeCell ref="J5:L6"/>
    <mergeCell ref="A9:D9"/>
    <mergeCell ref="F9:L9"/>
    <mergeCell ref="A1:L1"/>
    <mergeCell ref="A2:L2"/>
    <mergeCell ref="D4:F4"/>
    <mergeCell ref="G4:I4"/>
    <mergeCell ref="J4:L4"/>
    <mergeCell ref="A4:C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B3AB-408E-478F-802C-BD28D150EA5F}">
  <sheetPr codeName="Planilha1"/>
  <dimension ref="A1:O35"/>
  <sheetViews>
    <sheetView showGridLines="0" tabSelected="1" topLeftCell="A17" zoomScale="80" zoomScaleNormal="80" workbookViewId="0">
      <selection activeCell="D5" sqref="D5:F6"/>
    </sheetView>
  </sheetViews>
  <sheetFormatPr defaultRowHeight="13.5" x14ac:dyDescent="0.25"/>
  <cols>
    <col min="1" max="3" width="5.7109375" style="63" customWidth="1"/>
    <col min="4" max="15" width="14.7109375" style="63" customWidth="1"/>
    <col min="16" max="16384" width="9.140625" style="63"/>
  </cols>
  <sheetData>
    <row r="1" spans="1:15" ht="26.1" customHeight="1" x14ac:dyDescent="0.25">
      <c r="A1" s="64"/>
      <c r="B1" s="64"/>
      <c r="C1" s="64"/>
      <c r="D1" s="121" t="s">
        <v>0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5" ht="26.1" customHeight="1" x14ac:dyDescent="0.25">
      <c r="A2" s="65" t="s">
        <v>99</v>
      </c>
      <c r="B2" s="65"/>
      <c r="C2" s="65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</row>
    <row r="3" spans="1:15" ht="26.1" customHeight="1" x14ac:dyDescent="0.25">
      <c r="A3" s="65"/>
      <c r="B3" s="65"/>
      <c r="C3" s="65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</row>
    <row r="4" spans="1:15" ht="18" customHeight="1" x14ac:dyDescent="0.25">
      <c r="A4" s="65"/>
      <c r="B4" s="65"/>
      <c r="C4" s="65"/>
      <c r="D4" s="122" t="s">
        <v>98</v>
      </c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</row>
    <row r="5" spans="1:15" ht="24" customHeight="1" x14ac:dyDescent="0.25">
      <c r="A5" s="64"/>
      <c r="B5" s="64"/>
      <c r="C5" s="64"/>
      <c r="D5" s="69" t="s">
        <v>64</v>
      </c>
      <c r="E5" s="70"/>
      <c r="F5" s="71"/>
      <c r="G5" s="82" t="s">
        <v>65</v>
      </c>
      <c r="H5" s="83"/>
      <c r="I5" s="84"/>
      <c r="J5" s="95" t="s">
        <v>78</v>
      </c>
      <c r="K5" s="96"/>
      <c r="L5" s="97"/>
      <c r="M5" s="108" t="s">
        <v>66</v>
      </c>
      <c r="N5" s="109"/>
      <c r="O5" s="110"/>
    </row>
    <row r="6" spans="1:15" ht="24" customHeight="1" x14ac:dyDescent="0.25">
      <c r="A6" s="66" t="s">
        <v>100</v>
      </c>
      <c r="B6" s="66"/>
      <c r="C6" s="66"/>
      <c r="D6" s="72"/>
      <c r="E6" s="73"/>
      <c r="F6" s="74"/>
      <c r="G6" s="85"/>
      <c r="H6" s="86"/>
      <c r="I6" s="87"/>
      <c r="J6" s="98"/>
      <c r="K6" s="99"/>
      <c r="L6" s="100"/>
      <c r="M6" s="111"/>
      <c r="N6" s="112"/>
      <c r="O6" s="113"/>
    </row>
    <row r="7" spans="1:15" ht="24" customHeight="1" x14ac:dyDescent="0.25">
      <c r="A7" s="66"/>
      <c r="B7" s="66"/>
      <c r="C7" s="66"/>
      <c r="D7" s="75">
        <f>Dashboard!B12</f>
        <v>3600</v>
      </c>
      <c r="E7" s="76"/>
      <c r="F7" s="77"/>
      <c r="G7" s="88">
        <f>Dashboard!B13</f>
        <v>0</v>
      </c>
      <c r="H7" s="89"/>
      <c r="I7" s="90"/>
      <c r="J7" s="101">
        <f>Dashboard!B14</f>
        <v>3600</v>
      </c>
      <c r="K7" s="102"/>
      <c r="L7" s="103"/>
      <c r="M7" s="114">
        <f>Dashboard!B15</f>
        <v>1</v>
      </c>
      <c r="N7" s="115"/>
      <c r="O7" s="116"/>
    </row>
    <row r="8" spans="1:15" ht="24" customHeight="1" x14ac:dyDescent="0.25">
      <c r="A8" s="64"/>
      <c r="B8" s="64"/>
      <c r="C8" s="64"/>
      <c r="D8" s="78"/>
      <c r="E8" s="79"/>
      <c r="F8" s="80"/>
      <c r="G8" s="91"/>
      <c r="H8" s="92"/>
      <c r="I8" s="93"/>
      <c r="J8" s="104"/>
      <c r="K8" s="105"/>
      <c r="L8" s="106"/>
      <c r="M8" s="117"/>
      <c r="N8" s="118"/>
      <c r="O8" s="119"/>
    </row>
    <row r="9" spans="1:15" ht="24" customHeight="1" x14ac:dyDescent="0.25">
      <c r="A9" s="67" t="s">
        <v>71</v>
      </c>
      <c r="B9" s="67"/>
      <c r="C9" s="67"/>
      <c r="D9" s="68"/>
      <c r="E9" s="68"/>
      <c r="F9" s="68"/>
      <c r="G9" s="81"/>
      <c r="H9" s="81"/>
      <c r="I9" s="81"/>
      <c r="J9" s="94"/>
      <c r="K9" s="94"/>
      <c r="L9" s="94"/>
      <c r="M9" s="107"/>
      <c r="N9" s="107"/>
      <c r="O9" s="107"/>
    </row>
    <row r="10" spans="1:15" ht="9.9499999999999993" customHeight="1" x14ac:dyDescent="0.25">
      <c r="A10" s="67"/>
      <c r="B10" s="67"/>
      <c r="C10" s="67"/>
    </row>
    <row r="11" spans="1:15" ht="21.95" customHeight="1" x14ac:dyDescent="0.25">
      <c r="A11" s="64"/>
      <c r="B11" s="64"/>
      <c r="C11" s="64"/>
    </row>
    <row r="12" spans="1:15" ht="21.95" customHeight="1" x14ac:dyDescent="0.25">
      <c r="A12" s="67" t="s">
        <v>68</v>
      </c>
      <c r="B12" s="67"/>
      <c r="C12" s="67"/>
      <c r="D12" s="120" t="s">
        <v>104</v>
      </c>
      <c r="E12" s="120"/>
      <c r="F12" s="120"/>
      <c r="G12" s="120"/>
      <c r="H12" s="120"/>
      <c r="I12" s="120"/>
      <c r="J12" s="120" t="s">
        <v>105</v>
      </c>
      <c r="K12" s="120"/>
      <c r="L12" s="120"/>
      <c r="M12" s="120"/>
      <c r="N12" s="120"/>
      <c r="O12" s="120"/>
    </row>
    <row r="13" spans="1:15" ht="21.95" customHeight="1" x14ac:dyDescent="0.25">
      <c r="A13" s="67"/>
      <c r="B13" s="67"/>
      <c r="C13" s="67"/>
      <c r="D13" s="120"/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</row>
    <row r="14" spans="1:15" ht="21.95" customHeight="1" x14ac:dyDescent="0.25">
      <c r="A14" s="64"/>
      <c r="B14" s="64"/>
      <c r="C14" s="64"/>
      <c r="D14" s="120"/>
      <c r="E14" s="120"/>
      <c r="F14" s="120"/>
      <c r="G14" s="120"/>
      <c r="H14" s="120"/>
      <c r="I14" s="120"/>
      <c r="J14" s="120"/>
      <c r="K14" s="120"/>
      <c r="L14" s="120"/>
      <c r="M14" s="120"/>
      <c r="N14" s="120"/>
      <c r="O14" s="120"/>
    </row>
    <row r="15" spans="1:15" ht="21.95" customHeight="1" x14ac:dyDescent="0.25">
      <c r="A15" s="67" t="s">
        <v>69</v>
      </c>
      <c r="B15" s="67"/>
      <c r="C15" s="67"/>
      <c r="D15" s="120"/>
      <c r="E15" s="120"/>
      <c r="F15" s="120"/>
      <c r="G15" s="120"/>
      <c r="H15" s="120"/>
      <c r="I15" s="120"/>
      <c r="J15" s="120"/>
      <c r="K15" s="120"/>
      <c r="L15" s="120"/>
      <c r="M15" s="120"/>
      <c r="N15" s="120"/>
      <c r="O15" s="120"/>
    </row>
    <row r="16" spans="1:15" ht="21.95" customHeight="1" x14ac:dyDescent="0.25">
      <c r="A16" s="67"/>
      <c r="B16" s="67"/>
      <c r="C16" s="67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</row>
    <row r="17" spans="1:15" ht="21.95" customHeight="1" x14ac:dyDescent="0.25">
      <c r="A17" s="64"/>
      <c r="B17" s="64"/>
      <c r="C17" s="64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</row>
    <row r="18" spans="1:15" ht="21.95" customHeight="1" x14ac:dyDescent="0.25">
      <c r="A18" s="67" t="s">
        <v>101</v>
      </c>
      <c r="B18" s="67"/>
      <c r="C18" s="67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</row>
    <row r="19" spans="1:15" ht="21.95" customHeight="1" x14ac:dyDescent="0.25">
      <c r="A19" s="67"/>
      <c r="B19" s="67"/>
      <c r="C19" s="67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</row>
    <row r="20" spans="1:15" ht="21.95" customHeight="1" x14ac:dyDescent="0.25">
      <c r="A20" s="64"/>
      <c r="B20" s="64"/>
      <c r="C20" s="64"/>
      <c r="D20" s="120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</row>
    <row r="21" spans="1:15" ht="21.95" customHeight="1" x14ac:dyDescent="0.25">
      <c r="A21" s="67" t="s">
        <v>102</v>
      </c>
      <c r="B21" s="67"/>
      <c r="C21" s="67"/>
      <c r="D21" s="120"/>
      <c r="E21" s="120"/>
      <c r="F21" s="120"/>
      <c r="G21" s="120"/>
      <c r="H21" s="120"/>
      <c r="I21" s="120"/>
      <c r="J21" s="120"/>
      <c r="K21" s="120"/>
      <c r="L21" s="120"/>
      <c r="M21" s="120"/>
      <c r="N21" s="120"/>
      <c r="O21" s="120"/>
    </row>
    <row r="22" spans="1:15" ht="21.95" customHeight="1" x14ac:dyDescent="0.25">
      <c r="A22" s="67"/>
      <c r="B22" s="67"/>
      <c r="C22" s="67"/>
      <c r="D22" s="120"/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/>
    </row>
    <row r="23" spans="1:15" ht="21.95" customHeight="1" x14ac:dyDescent="0.25">
      <c r="A23" s="64"/>
      <c r="B23" s="64"/>
      <c r="C23" s="64"/>
      <c r="D23" s="120"/>
      <c r="E23" s="120"/>
      <c r="F23" s="120"/>
      <c r="G23" s="120"/>
      <c r="H23" s="120"/>
      <c r="I23" s="120"/>
      <c r="J23" s="120"/>
      <c r="K23" s="120"/>
      <c r="L23" s="120"/>
      <c r="M23" s="120"/>
      <c r="N23" s="120"/>
      <c r="O23" s="120"/>
    </row>
    <row r="24" spans="1:15" ht="21.95" customHeight="1" x14ac:dyDescent="0.25">
      <c r="A24" s="67" t="s">
        <v>103</v>
      </c>
      <c r="B24" s="67"/>
      <c r="C24" s="67"/>
      <c r="D24" s="120"/>
      <c r="E24" s="120"/>
      <c r="F24" s="120"/>
      <c r="G24" s="120"/>
      <c r="H24" s="120"/>
      <c r="I24" s="120"/>
      <c r="J24" s="120"/>
      <c r="K24" s="120"/>
      <c r="L24" s="120"/>
      <c r="M24" s="120"/>
      <c r="N24" s="120"/>
      <c r="O24" s="120"/>
    </row>
    <row r="25" spans="1:15" ht="21.95" customHeight="1" x14ac:dyDescent="0.25">
      <c r="A25" s="67"/>
      <c r="B25" s="67"/>
      <c r="C25" s="67"/>
    </row>
    <row r="26" spans="1:15" ht="21.95" customHeight="1" x14ac:dyDescent="0.25">
      <c r="A26" s="64"/>
      <c r="B26" s="64"/>
      <c r="C26" s="64"/>
      <c r="D26" s="120" t="s">
        <v>106</v>
      </c>
      <c r="E26" s="120"/>
      <c r="F26" s="120"/>
      <c r="G26" s="120"/>
      <c r="H26" s="120"/>
      <c r="I26" s="120"/>
      <c r="J26" s="120" t="s">
        <v>106</v>
      </c>
      <c r="K26" s="120"/>
      <c r="L26" s="120"/>
      <c r="M26" s="120"/>
      <c r="N26" s="120"/>
      <c r="O26" s="120"/>
    </row>
    <row r="27" spans="1:15" ht="21.95" customHeight="1" x14ac:dyDescent="0.25">
      <c r="A27" s="64"/>
      <c r="B27" s="64"/>
      <c r="C27" s="64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</row>
    <row r="28" spans="1:15" ht="21.95" customHeight="1" x14ac:dyDescent="0.25">
      <c r="A28" s="64"/>
      <c r="B28" s="64"/>
      <c r="C28" s="64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</row>
    <row r="29" spans="1:15" ht="21.95" customHeight="1" x14ac:dyDescent="0.25">
      <c r="A29" s="64"/>
      <c r="B29" s="64"/>
      <c r="C29" s="64"/>
      <c r="D29" s="120"/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</row>
    <row r="30" spans="1:15" ht="21.95" customHeight="1" x14ac:dyDescent="0.25">
      <c r="A30" s="64"/>
      <c r="B30" s="64"/>
      <c r="C30" s="64"/>
      <c r="D30" s="120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</row>
    <row r="31" spans="1:15" ht="21.95" customHeight="1" x14ac:dyDescent="0.25">
      <c r="A31" s="64"/>
      <c r="B31" s="64"/>
      <c r="C31" s="64"/>
      <c r="D31" s="120"/>
      <c r="E31" s="120"/>
      <c r="F31" s="120"/>
      <c r="G31" s="120"/>
      <c r="H31" s="120"/>
      <c r="I31" s="120"/>
      <c r="J31" s="120"/>
      <c r="K31" s="120"/>
      <c r="L31" s="120"/>
      <c r="M31" s="120"/>
      <c r="N31" s="120"/>
      <c r="O31" s="120"/>
    </row>
    <row r="32" spans="1:15" ht="21.95" customHeight="1" x14ac:dyDescent="0.25">
      <c r="A32" s="64"/>
      <c r="B32" s="64"/>
      <c r="C32" s="64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</row>
    <row r="33" spans="1:15" ht="21.95" customHeight="1" x14ac:dyDescent="0.25">
      <c r="A33" s="64"/>
      <c r="B33" s="64"/>
      <c r="C33" s="64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</row>
    <row r="34" spans="1:15" ht="21.95" customHeight="1" x14ac:dyDescent="0.25">
      <c r="A34" s="64"/>
      <c r="B34" s="64"/>
      <c r="C34" s="64"/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</row>
    <row r="35" spans="1:15" ht="21.95" customHeight="1" x14ac:dyDescent="0.25">
      <c r="A35" s="64"/>
      <c r="B35" s="64"/>
      <c r="C35" s="64"/>
      <c r="D35" s="120"/>
      <c r="E35" s="120"/>
      <c r="F35" s="120"/>
      <c r="G35" s="120"/>
      <c r="H35" s="120"/>
      <c r="I35" s="120"/>
      <c r="J35" s="120"/>
      <c r="K35" s="120"/>
      <c r="L35" s="120"/>
      <c r="M35" s="120"/>
      <c r="N35" s="120"/>
      <c r="O35" s="120"/>
    </row>
  </sheetData>
  <mergeCells count="22">
    <mergeCell ref="D26:I35"/>
    <mergeCell ref="J26:O35"/>
    <mergeCell ref="J5:L6"/>
    <mergeCell ref="J7:L8"/>
    <mergeCell ref="M5:O6"/>
    <mergeCell ref="M7:O8"/>
    <mergeCell ref="D12:I24"/>
    <mergeCell ref="J12:O24"/>
    <mergeCell ref="A15:C16"/>
    <mergeCell ref="A18:C19"/>
    <mergeCell ref="A21:C22"/>
    <mergeCell ref="A24:C25"/>
    <mergeCell ref="D5:F6"/>
    <mergeCell ref="D7:F8"/>
    <mergeCell ref="D1:O3"/>
    <mergeCell ref="D4:O4"/>
    <mergeCell ref="A2:C4"/>
    <mergeCell ref="A6:C7"/>
    <mergeCell ref="A9:C10"/>
    <mergeCell ref="A12:C13"/>
    <mergeCell ref="G5:I6"/>
    <mergeCell ref="G7:I8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18C6-924E-49FC-93DA-481072130B36}">
  <sheetPr codeName="Planilha3"/>
  <dimension ref="A1:K9"/>
  <sheetViews>
    <sheetView showGridLines="0" zoomScale="70" zoomScaleNormal="70" workbookViewId="0">
      <selection activeCell="B2" sqref="B2"/>
    </sheetView>
  </sheetViews>
  <sheetFormatPr defaultRowHeight="15" x14ac:dyDescent="0.25"/>
  <cols>
    <col min="1" max="1" width="10.5703125" customWidth="1"/>
    <col min="2" max="2" width="12.5703125" style="2" customWidth="1"/>
    <col min="3" max="3" width="14.5703125" customWidth="1"/>
    <col min="4" max="4" width="20.5703125" customWidth="1"/>
    <col min="5" max="5" width="30.5703125" customWidth="1"/>
    <col min="6" max="6" width="14.5703125" style="4" customWidth="1"/>
    <col min="7" max="7" width="20.5703125" customWidth="1"/>
    <col min="8" max="8" width="22.5703125" customWidth="1"/>
    <col min="9" max="9" width="15.5703125" customWidth="1"/>
    <col min="10" max="10" width="35.5703125" customWidth="1"/>
    <col min="11" max="11" width="20.5703125" style="5" customWidth="1"/>
  </cols>
  <sheetData>
    <row r="1" spans="1:11" x14ac:dyDescent="0.25">
      <c r="A1" t="s">
        <v>1</v>
      </c>
      <c r="B1" s="2" t="s">
        <v>2</v>
      </c>
      <c r="C1" t="s">
        <v>3</v>
      </c>
      <c r="D1" t="s">
        <v>4</v>
      </c>
      <c r="E1" t="s">
        <v>5</v>
      </c>
      <c r="F1" s="4" t="s">
        <v>6</v>
      </c>
      <c r="G1" t="s">
        <v>7</v>
      </c>
      <c r="H1" t="s">
        <v>8</v>
      </c>
      <c r="I1" t="s">
        <v>9</v>
      </c>
      <c r="J1" t="s">
        <v>10</v>
      </c>
      <c r="K1" s="5" t="s">
        <v>11</v>
      </c>
    </row>
    <row r="2" spans="1:11" x14ac:dyDescent="0.25">
      <c r="B2" s="3">
        <v>46285</v>
      </c>
      <c r="C2" t="s">
        <v>17</v>
      </c>
      <c r="D2" t="s">
        <v>16</v>
      </c>
      <c r="E2" t="s">
        <v>61</v>
      </c>
      <c r="F2" s="4">
        <v>3600</v>
      </c>
      <c r="G2" t="s">
        <v>58</v>
      </c>
      <c r="H2" t="s">
        <v>35</v>
      </c>
      <c r="I2" s="1" t="s">
        <v>56</v>
      </c>
      <c r="J2" t="s">
        <v>62</v>
      </c>
    </row>
    <row r="9" spans="1:11" x14ac:dyDescent="0.25">
      <c r="H9" s="1"/>
    </row>
  </sheetData>
  <dataValidations count="5">
    <dataValidation type="list" allowBlank="1" showInputMessage="1" showErrorMessage="1" errorTitle="Valor inválido" error="Selecione uma opção da lista." promptTitle="Tipo de lançamento" prompt="Selecione Receita ou Despesa." sqref="C2:C1000" xr:uid="{F11A7487-D127-40DE-B99E-07952F04A0F8}">
      <formula1>nmTiposLancamento</formula1>
    </dataValidation>
    <dataValidation type="list" allowBlank="1" showInputMessage="1" showErrorMessage="1" errorTitle="Valor inválido" error="Selecione uma opção da lista." promptTitle="Categoria" prompt="Selecione uma categoria cadastrada." sqref="D2:D1000" xr:uid="{2BF86305-30B9-44D4-8704-6360CA283956}">
      <formula1>nmCategorias</formula1>
    </dataValidation>
    <dataValidation type="list" allowBlank="1" showInputMessage="1" showErrorMessage="1" errorTitle="Valor inválido" error="Selecione uma opção da lista." promptTitle="Conta" prompt="Selecione uma conta cadastrada." sqref="G2:G1000" xr:uid="{894E603C-9606-4323-A367-78A72CFD07BF}">
      <formula1>nmContas</formula1>
    </dataValidation>
    <dataValidation type="list" allowBlank="1" showInputMessage="1" showErrorMessage="1" errorTitle="Valor inválido" error="Selecione uma opção da lista." promptTitle="Forma de pagamento" prompt="Selecione uma forma de pagamento." sqref="H2:H1000" xr:uid="{38CC09E8-2C57-4C16-989D-D8CDE8CC3A00}">
      <formula1>nmFormasPagamento</formula1>
    </dataValidation>
    <dataValidation type="list" allowBlank="1" showInputMessage="1" showErrorMessage="1" errorTitle="Valor inválido" error="Selecione uma opção da lista." promptTitle="Status" prompt="Selecione Pago ou Pendente." sqref="I2:I1000" xr:uid="{9FE2C92F-B514-4A5F-81C0-2068990C933B}">
      <formula1>nmStatusLancamento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FEB98-704D-4F78-8783-7721637AA09D}">
  <sheetPr codeName="Planilha4"/>
  <dimension ref="A1:F11"/>
  <sheetViews>
    <sheetView workbookViewId="0">
      <selection activeCell="E3" sqref="E3"/>
    </sheetView>
  </sheetViews>
  <sheetFormatPr defaultRowHeight="15" x14ac:dyDescent="0.25"/>
  <cols>
    <col min="1" max="1" width="10.5703125" customWidth="1"/>
    <col min="2" max="2" width="25.5703125" customWidth="1"/>
    <col min="3" max="3" width="18.5703125" customWidth="1"/>
    <col min="4" max="4" width="25.5703125" customWidth="1"/>
    <col min="5" max="5" width="16.5703125" style="4" customWidth="1"/>
    <col min="6" max="6" width="12.5703125" customWidth="1"/>
  </cols>
  <sheetData>
    <row r="1" spans="1:6" x14ac:dyDescent="0.25">
      <c r="A1" t="s">
        <v>1</v>
      </c>
      <c r="B1" t="s">
        <v>12</v>
      </c>
      <c r="C1" t="s">
        <v>3</v>
      </c>
      <c r="D1" t="s">
        <v>13</v>
      </c>
      <c r="E1" s="4" t="s">
        <v>14</v>
      </c>
      <c r="F1" t="s">
        <v>15</v>
      </c>
    </row>
    <row r="2" spans="1:6" x14ac:dyDescent="0.25">
      <c r="A2">
        <v>1</v>
      </c>
      <c r="B2" t="s">
        <v>58</v>
      </c>
      <c r="C2" t="s">
        <v>59</v>
      </c>
      <c r="D2" t="s">
        <v>60</v>
      </c>
      <c r="E2" s="4">
        <v>4000</v>
      </c>
      <c r="F2" t="s">
        <v>18</v>
      </c>
    </row>
    <row r="11" spans="1:6" x14ac:dyDescent="0.25">
      <c r="E11" s="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13BA-F376-48CE-B8D8-4846D42D94CF}">
  <sheetPr codeName="Planilha5"/>
  <dimension ref="A1:D13"/>
  <sheetViews>
    <sheetView workbookViewId="0"/>
  </sheetViews>
  <sheetFormatPr defaultRowHeight="15" x14ac:dyDescent="0.25"/>
  <cols>
    <col min="1" max="1" width="10.5703125" customWidth="1"/>
    <col min="2" max="2" width="25.5703125" customWidth="1"/>
    <col min="3" max="3" width="15.5703125" customWidth="1"/>
    <col min="4" max="4" width="12.5703125" customWidth="1"/>
  </cols>
  <sheetData>
    <row r="1" spans="1:4" x14ac:dyDescent="0.25">
      <c r="A1" t="s">
        <v>1</v>
      </c>
      <c r="B1" t="s">
        <v>4</v>
      </c>
      <c r="C1" t="s">
        <v>3</v>
      </c>
      <c r="D1" t="s">
        <v>15</v>
      </c>
    </row>
    <row r="2" spans="1:4" x14ac:dyDescent="0.25">
      <c r="A2">
        <v>1</v>
      </c>
      <c r="B2" t="s">
        <v>16</v>
      </c>
      <c r="C2" t="s">
        <v>17</v>
      </c>
      <c r="D2" t="s">
        <v>18</v>
      </c>
    </row>
    <row r="3" spans="1:4" x14ac:dyDescent="0.25">
      <c r="A3">
        <v>2</v>
      </c>
      <c r="B3" t="s">
        <v>19</v>
      </c>
      <c r="C3" t="s">
        <v>17</v>
      </c>
      <c r="D3" t="s">
        <v>18</v>
      </c>
    </row>
    <row r="4" spans="1:4" x14ac:dyDescent="0.25">
      <c r="A4">
        <v>3</v>
      </c>
      <c r="B4" t="s">
        <v>20</v>
      </c>
      <c r="C4" t="s">
        <v>17</v>
      </c>
      <c r="D4" t="s">
        <v>18</v>
      </c>
    </row>
    <row r="5" spans="1:4" x14ac:dyDescent="0.25">
      <c r="A5">
        <v>4</v>
      </c>
      <c r="B5" t="s">
        <v>21</v>
      </c>
      <c r="C5" t="s">
        <v>22</v>
      </c>
      <c r="D5" t="s">
        <v>18</v>
      </c>
    </row>
    <row r="6" spans="1:4" x14ac:dyDescent="0.25">
      <c r="A6">
        <v>5</v>
      </c>
      <c r="B6" t="s">
        <v>23</v>
      </c>
      <c r="C6" t="s">
        <v>22</v>
      </c>
      <c r="D6" t="s">
        <v>18</v>
      </c>
    </row>
    <row r="7" spans="1:4" x14ac:dyDescent="0.25">
      <c r="A7">
        <v>6</v>
      </c>
      <c r="B7" t="s">
        <v>24</v>
      </c>
      <c r="C7" t="s">
        <v>22</v>
      </c>
      <c r="D7" t="s">
        <v>18</v>
      </c>
    </row>
    <row r="8" spans="1:4" x14ac:dyDescent="0.25">
      <c r="A8">
        <v>7</v>
      </c>
      <c r="B8" t="s">
        <v>25</v>
      </c>
      <c r="C8" t="s">
        <v>22</v>
      </c>
      <c r="D8" t="s">
        <v>18</v>
      </c>
    </row>
    <row r="9" spans="1:4" x14ac:dyDescent="0.25">
      <c r="A9">
        <v>8</v>
      </c>
      <c r="B9" t="s">
        <v>26</v>
      </c>
      <c r="C9" t="s">
        <v>22</v>
      </c>
      <c r="D9" t="s">
        <v>18</v>
      </c>
    </row>
    <row r="10" spans="1:4" x14ac:dyDescent="0.25">
      <c r="A10">
        <v>9</v>
      </c>
      <c r="B10" t="s">
        <v>27</v>
      </c>
      <c r="C10" t="s">
        <v>22</v>
      </c>
      <c r="D10" t="s">
        <v>18</v>
      </c>
    </row>
    <row r="11" spans="1:4" x14ac:dyDescent="0.25">
      <c r="A11">
        <v>10</v>
      </c>
      <c r="B11" t="s">
        <v>28</v>
      </c>
      <c r="C11" t="s">
        <v>22</v>
      </c>
      <c r="D11" t="s">
        <v>18</v>
      </c>
    </row>
    <row r="12" spans="1:4" x14ac:dyDescent="0.25">
      <c r="A12">
        <v>11</v>
      </c>
      <c r="B12" t="s">
        <v>29</v>
      </c>
      <c r="C12" t="s">
        <v>22</v>
      </c>
      <c r="D12" t="s">
        <v>18</v>
      </c>
    </row>
    <row r="13" spans="1:4" x14ac:dyDescent="0.25">
      <c r="A13">
        <v>12</v>
      </c>
      <c r="B13" t="s">
        <v>30</v>
      </c>
      <c r="C13" t="s">
        <v>22</v>
      </c>
      <c r="D13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5C428-60D8-4F0E-A5CB-09CD78280773}">
  <sheetPr codeName="Planilha6"/>
  <dimension ref="A1:G1"/>
  <sheetViews>
    <sheetView workbookViewId="0"/>
  </sheetViews>
  <sheetFormatPr defaultRowHeight="15" x14ac:dyDescent="0.25"/>
  <cols>
    <col min="1" max="1" width="10.5703125" customWidth="1"/>
    <col min="2" max="2" width="30.5703125" customWidth="1"/>
    <col min="3" max="3" width="20.5703125" customWidth="1"/>
    <col min="4" max="5" width="18.5703125" style="4" customWidth="1"/>
    <col min="6" max="6" width="15.5703125" style="2" customWidth="1"/>
    <col min="7" max="7" width="15.5703125" customWidth="1"/>
  </cols>
  <sheetData>
    <row r="1" spans="1:7" x14ac:dyDescent="0.25">
      <c r="A1" t="s">
        <v>1</v>
      </c>
      <c r="B1" t="s">
        <v>31</v>
      </c>
      <c r="C1" t="s">
        <v>4</v>
      </c>
      <c r="D1" s="4" t="s">
        <v>32</v>
      </c>
      <c r="E1" s="4" t="s">
        <v>33</v>
      </c>
      <c r="F1" s="2" t="s">
        <v>34</v>
      </c>
      <c r="G1" t="s">
        <v>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17110-7776-4AFD-9511-9CC9C98F11AA}">
  <sheetPr codeName="Planilha7"/>
  <dimension ref="A1:D9"/>
  <sheetViews>
    <sheetView workbookViewId="0"/>
  </sheetViews>
  <sheetFormatPr defaultRowHeight="15" x14ac:dyDescent="0.25"/>
  <cols>
    <col min="1" max="1" width="10.5703125" customWidth="1"/>
    <col min="2" max="2" width="28.5703125" customWidth="1"/>
    <col min="3" max="3" width="18.5703125" customWidth="1"/>
    <col min="4" max="4" width="12.5703125" customWidth="1"/>
  </cols>
  <sheetData>
    <row r="1" spans="1:4" x14ac:dyDescent="0.25">
      <c r="A1" t="s">
        <v>1</v>
      </c>
      <c r="B1" t="s">
        <v>8</v>
      </c>
      <c r="C1" t="s">
        <v>3</v>
      </c>
      <c r="D1" t="s">
        <v>15</v>
      </c>
    </row>
    <row r="2" spans="1:4" x14ac:dyDescent="0.25">
      <c r="A2">
        <v>1</v>
      </c>
      <c r="B2" t="s">
        <v>35</v>
      </c>
      <c r="C2" t="s">
        <v>36</v>
      </c>
      <c r="D2" t="s">
        <v>18</v>
      </c>
    </row>
    <row r="3" spans="1:4" x14ac:dyDescent="0.25">
      <c r="A3">
        <v>2</v>
      </c>
      <c r="B3" t="s">
        <v>37</v>
      </c>
      <c r="C3" t="s">
        <v>38</v>
      </c>
      <c r="D3" t="s">
        <v>18</v>
      </c>
    </row>
    <row r="4" spans="1:4" x14ac:dyDescent="0.25">
      <c r="A4">
        <v>3</v>
      </c>
      <c r="B4" t="s">
        <v>39</v>
      </c>
      <c r="C4" t="s">
        <v>38</v>
      </c>
      <c r="D4" t="s">
        <v>18</v>
      </c>
    </row>
    <row r="5" spans="1:4" x14ac:dyDescent="0.25">
      <c r="A5">
        <v>4</v>
      </c>
      <c r="B5" t="s">
        <v>40</v>
      </c>
      <c r="C5" t="s">
        <v>40</v>
      </c>
      <c r="D5" t="s">
        <v>18</v>
      </c>
    </row>
    <row r="6" spans="1:4" x14ac:dyDescent="0.25">
      <c r="A6">
        <v>5</v>
      </c>
      <c r="B6" t="s">
        <v>41</v>
      </c>
      <c r="C6" t="s">
        <v>36</v>
      </c>
      <c r="D6" t="s">
        <v>18</v>
      </c>
    </row>
    <row r="7" spans="1:4" x14ac:dyDescent="0.25">
      <c r="A7">
        <v>6</v>
      </c>
      <c r="B7" t="s">
        <v>42</v>
      </c>
      <c r="C7" t="s">
        <v>36</v>
      </c>
      <c r="D7" t="s">
        <v>18</v>
      </c>
    </row>
    <row r="8" spans="1:4" x14ac:dyDescent="0.25">
      <c r="A8">
        <v>7</v>
      </c>
      <c r="B8" t="s">
        <v>43</v>
      </c>
      <c r="C8" t="s">
        <v>36</v>
      </c>
      <c r="D8" t="s">
        <v>18</v>
      </c>
    </row>
    <row r="9" spans="1:4" x14ac:dyDescent="0.25">
      <c r="A9">
        <v>8</v>
      </c>
      <c r="B9" t="s">
        <v>30</v>
      </c>
      <c r="C9" t="s">
        <v>30</v>
      </c>
      <c r="D9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36584-2507-4618-9710-17ED63AEE76C}">
  <sheetPr codeName="Planilha8"/>
  <dimension ref="A1:E6"/>
  <sheetViews>
    <sheetView workbookViewId="0"/>
  </sheetViews>
  <sheetFormatPr defaultRowHeight="15" x14ac:dyDescent="0.25"/>
  <cols>
    <col min="1" max="1" width="30.5703125" customWidth="1"/>
    <col min="2" max="2" width="35.5703125" customWidth="1"/>
    <col min="4" max="5" width="0" hidden="1" customWidth="1"/>
  </cols>
  <sheetData>
    <row r="1" spans="1:5" x14ac:dyDescent="0.25">
      <c r="A1" t="s">
        <v>44</v>
      </c>
      <c r="B1" t="s">
        <v>6</v>
      </c>
      <c r="D1" t="s">
        <v>54</v>
      </c>
      <c r="E1" t="s">
        <v>55</v>
      </c>
    </row>
    <row r="2" spans="1:5" x14ac:dyDescent="0.25">
      <c r="A2" t="s">
        <v>45</v>
      </c>
      <c r="B2" t="s">
        <v>46</v>
      </c>
      <c r="D2" t="s">
        <v>17</v>
      </c>
      <c r="E2" t="s">
        <v>56</v>
      </c>
    </row>
    <row r="3" spans="1:5" x14ac:dyDescent="0.25">
      <c r="A3" t="s">
        <v>47</v>
      </c>
      <c r="B3" t="s">
        <v>48</v>
      </c>
      <c r="D3" t="s">
        <v>22</v>
      </c>
      <c r="E3" t="s">
        <v>57</v>
      </c>
    </row>
    <row r="4" spans="1:5" x14ac:dyDescent="0.25">
      <c r="A4" t="s">
        <v>49</v>
      </c>
      <c r="B4" t="s">
        <v>50</v>
      </c>
    </row>
    <row r="5" spans="1:5" x14ac:dyDescent="0.25">
      <c r="A5" t="s">
        <v>51</v>
      </c>
      <c r="B5" t="s">
        <v>63</v>
      </c>
    </row>
    <row r="6" spans="1:5" x14ac:dyDescent="0.25">
      <c r="A6" t="s">
        <v>52</v>
      </c>
      <c r="B6" t="s">
        <v>53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5</vt:i4>
      </vt:variant>
    </vt:vector>
  </HeadingPairs>
  <TitlesOfParts>
    <vt:vector size="13" baseType="lpstr">
      <vt:lpstr>Dashboard</vt:lpstr>
      <vt:lpstr>Dashboard_V2</vt:lpstr>
      <vt:lpstr>Lançamentos</vt:lpstr>
      <vt:lpstr>Contas</vt:lpstr>
      <vt:lpstr>Categorias</vt:lpstr>
      <vt:lpstr>Metas</vt:lpstr>
      <vt:lpstr>FormasPagamento</vt:lpstr>
      <vt:lpstr>Configurações</vt:lpstr>
      <vt:lpstr>nmCategorias</vt:lpstr>
      <vt:lpstr>nmContas</vt:lpstr>
      <vt:lpstr>nmFormasPagamento</vt:lpstr>
      <vt:lpstr>nmStatusLancamento</vt:lpstr>
      <vt:lpstr>nmTiposLancamento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 Felix Lacerda</dc:creator>
  <cp:lastModifiedBy>Adriano Felix Lacerda</cp:lastModifiedBy>
  <dcterms:created xsi:type="dcterms:W3CDTF">2026-09-20T00:08:49Z</dcterms:created>
  <dcterms:modified xsi:type="dcterms:W3CDTF">2026-09-21T11:37:16Z</dcterms:modified>
</cp:coreProperties>
</file>